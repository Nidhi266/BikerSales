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idhi\Downloads\"/>
    </mc:Choice>
  </mc:AlternateContent>
  <xr:revisionPtr revIDLastSave="0" documentId="8_{8FF47CB0-0F0B-4395-8A4C-F809AD44A81E}" xr6:coauthVersionLast="47" xr6:coauthVersionMax="47" xr10:uidLastSave="{00000000-0000-0000-0000-000000000000}"/>
  <bookViews>
    <workbookView xWindow="-120" yWindow="-120" windowWidth="20730" windowHeight="11040" activeTab="2" xr2:uid="{00000000-000D-0000-FFFF-FFFF00000000}"/>
  </bookViews>
  <sheets>
    <sheet name="Worksheet" sheetId="2" r:id="rId1"/>
    <sheet name="bike_buyers" sheetId="1" r:id="rId2"/>
    <sheet name="Pivot Table" sheetId="4" r:id="rId3"/>
    <sheet name="Dashboard" sheetId="3" r:id="rId4"/>
  </sheets>
  <definedNames>
    <definedName name="_xlnm._FilterDatabase" localSheetId="1" hidden="1">bike_buyers!$A$1:$M$1001</definedName>
    <definedName name="_xlnm._FilterDatabase" localSheetId="0" hidden="1">Worksheet!$A$1:$N$1001</definedName>
    <definedName name="Slicer_Education">#N/A</definedName>
    <definedName name="Slicer_Marital_Status">#N/A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<sst xmlns="http://schemas.openxmlformats.org/spreadsheetml/2006/main" count="16267" uniqueCount="51">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</sst>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DBBE-4A54-B36D-24AEFD177DF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BBE-4A54-B36D-24AEFD177DF1}"/>
            </c:ext>
          </c:extLst>
        </c:ser>
        <c:dLbls>
          <c:showLegendKey val="0"/>
          <c:showVal val="0"/>
          <c:showCatName val="0"/>
          <c:showSerName val="0"/>
          <c:showPercent val="0"/>
          <c:showBubbleSize val="0"/>
        </c:dLbls>
        <c:gapWidth val="219"/>
        <c:overlap val="-27"/>
        <c:axId val="900871135"/>
        <c:axId val="898455887"/>
      </c:barChart>
      <c:catAx>
        <c:axId val="90087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55887"/>
        <c:crosses val="autoZero"/>
        <c:auto val="1"/>
        <c:lblAlgn val="ctr"/>
        <c:lblOffset val="100"/>
        <c:noMultiLvlLbl val="0"/>
      </c:catAx>
      <c:valAx>
        <c:axId val="89845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711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28258967629044E-2"/>
          <c:y val="0.26328484981044037"/>
          <c:w val="0.68684951881014877"/>
          <c:h val="0.3609379556722076"/>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621-4FBD-9CEF-2A1B6BADD45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621-4FBD-9CEF-2A1B6BADD45C}"/>
            </c:ext>
          </c:extLst>
        </c:ser>
        <c:dLbls>
          <c:showLegendKey val="0"/>
          <c:showVal val="0"/>
          <c:showCatName val="0"/>
          <c:showSerName val="0"/>
          <c:showPercent val="0"/>
          <c:showBubbleSize val="0"/>
        </c:dLbls>
        <c:smooth val="0"/>
        <c:axId val="990199151"/>
        <c:axId val="1252563599"/>
      </c:lineChart>
      <c:catAx>
        <c:axId val="990199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63599"/>
        <c:crosses val="autoZero"/>
        <c:auto val="1"/>
        <c:lblAlgn val="ctr"/>
        <c:lblOffset val="100"/>
        <c:noMultiLvlLbl val="0"/>
      </c:catAx>
      <c:valAx>
        <c:axId val="125256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19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r>
              <a:rPr lang="en-US"/>
              <a:t>  </a:t>
            </a:r>
          </a:p>
        </c:rich>
      </c:tx>
      <c:layout>
        <c:manualLayout>
          <c:xMode val="edge"/>
          <c:yMode val="edge"/>
          <c:x val="0.3872707786526684"/>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6981627296589"/>
          <c:y val="0.15638670166229221"/>
          <c:w val="0.6735301837270341"/>
          <c:h val="0.65853091280256637"/>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E6D-410F-BDFE-A678E7B785FE}"/>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E6D-410F-BDFE-A678E7B785FE}"/>
            </c:ext>
          </c:extLst>
        </c:ser>
        <c:dLbls>
          <c:showLegendKey val="0"/>
          <c:showVal val="0"/>
          <c:showCatName val="0"/>
          <c:showSerName val="0"/>
          <c:showPercent val="0"/>
          <c:showBubbleSize val="0"/>
        </c:dLbls>
        <c:smooth val="0"/>
        <c:axId val="1263077583"/>
        <c:axId val="1268102959"/>
      </c:lineChart>
      <c:catAx>
        <c:axId val="126307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02959"/>
        <c:crosses val="autoZero"/>
        <c:auto val="1"/>
        <c:lblAlgn val="ctr"/>
        <c:lblOffset val="100"/>
        <c:noMultiLvlLbl val="0"/>
      </c:catAx>
      <c:valAx>
        <c:axId val="126810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7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 Sales.xlsx]Pivot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0579-431C-99DF-97B297AD24D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579-431C-99DF-97B297AD24D5}"/>
            </c:ext>
          </c:extLst>
        </c:ser>
        <c:dLbls>
          <c:showLegendKey val="0"/>
          <c:showVal val="0"/>
          <c:showCatName val="0"/>
          <c:showSerName val="0"/>
          <c:showPercent val="0"/>
          <c:showBubbleSize val="0"/>
        </c:dLbls>
        <c:gapWidth val="219"/>
        <c:overlap val="-27"/>
        <c:axId val="900871135"/>
        <c:axId val="898455887"/>
      </c:barChart>
      <c:catAx>
        <c:axId val="90087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55887"/>
        <c:crosses val="autoZero"/>
        <c:auto val="1"/>
        <c:lblAlgn val="ctr"/>
        <c:lblOffset val="100"/>
        <c:noMultiLvlLbl val="0"/>
      </c:catAx>
      <c:valAx>
        <c:axId val="89845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711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 Sales.xlsx]Pivot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28258967629044E-2"/>
          <c:y val="0.26328484981044037"/>
          <c:w val="0.68684951881014877"/>
          <c:h val="0.3609379556722076"/>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971-4F02-9C9E-F56FB5BEDE6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971-4F02-9C9E-F56FB5BEDE6C}"/>
            </c:ext>
          </c:extLst>
        </c:ser>
        <c:dLbls>
          <c:showLegendKey val="0"/>
          <c:showVal val="0"/>
          <c:showCatName val="0"/>
          <c:showSerName val="0"/>
          <c:showPercent val="0"/>
          <c:showBubbleSize val="0"/>
        </c:dLbls>
        <c:smooth val="0"/>
        <c:axId val="990199151"/>
        <c:axId val="1252563599"/>
      </c:lineChart>
      <c:catAx>
        <c:axId val="990199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563599"/>
        <c:crosses val="autoZero"/>
        <c:auto val="1"/>
        <c:lblAlgn val="ctr"/>
        <c:lblOffset val="100"/>
        <c:noMultiLvlLbl val="0"/>
      </c:catAx>
      <c:valAx>
        <c:axId val="125256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19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 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r>
              <a:rPr lang="en-US"/>
              <a:t>  </a:t>
            </a:r>
          </a:p>
        </c:rich>
      </c:tx>
      <c:layout>
        <c:manualLayout>
          <c:xMode val="edge"/>
          <c:yMode val="edge"/>
          <c:x val="0.3817152230971129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6981627296589"/>
          <c:y val="0.15638670166229221"/>
          <c:w val="0.6735301837270341"/>
          <c:h val="0.65853091280256637"/>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F86-4DD7-8915-5AB087794D8E}"/>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F86-4DD7-8915-5AB087794D8E}"/>
            </c:ext>
          </c:extLst>
        </c:ser>
        <c:dLbls>
          <c:showLegendKey val="0"/>
          <c:showVal val="0"/>
          <c:showCatName val="0"/>
          <c:showSerName val="0"/>
          <c:showPercent val="0"/>
          <c:showBubbleSize val="0"/>
        </c:dLbls>
        <c:smooth val="0"/>
        <c:axId val="1263077583"/>
        <c:axId val="1268102959"/>
      </c:lineChart>
      <c:catAx>
        <c:axId val="126307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02959"/>
        <c:crosses val="autoZero"/>
        <c:auto val="1"/>
        <c:lblAlgn val="ctr"/>
        <c:lblOffset val="100"/>
        <c:noMultiLvlLbl val="0"/>
      </c:catAx>
      <c:valAx>
        <c:axId val="126810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7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205740</xdr:colOff>
      <xdr:row>0</xdr:row>
      <xdr:rowOff>0</xdr:rowOff>
    </xdr:from>
    <xdr:to>
      <xdr:col>11</xdr:col>
      <xdr:colOff>510540</xdr:colOff>
      <xdr:row>15</xdr:row>
      <xdr:rowOff>0</xdr:rowOff>
    </xdr:to>
    <xdr:graphicFrame macro="">
      <xdr:nvGraphicFramePr>
        <xdr:cNvPr id="2" name="Chart 1">
          <a:extLst>
            <a:ext uri="{FF2B5EF4-FFF2-40B4-BE49-F238E27FC236}">
              <a16:creationId xmlns:a16="http://schemas.microsoft.com/office/drawing/2014/main" id="{5863EADF-A9C6-C639-7BD6-66EE7B56F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243840</xdr:colOff>
      <xdr:row>17</xdr:row>
      <xdr:rowOff>11430</xdr:rowOff>
    </xdr:from>
    <xdr:to>
      <xdr:col>11</xdr:col>
      <xdr:colOff>548640</xdr:colOff>
      <xdr:row>32</xdr:row>
      <xdr:rowOff>11430</xdr:rowOff>
    </xdr:to>
    <xdr:graphicFrame macro="">
      <xdr:nvGraphicFramePr>
        <xdr:cNvPr id="3" name="Chart 2">
          <a:extLst>
            <a:ext uri="{FF2B5EF4-FFF2-40B4-BE49-F238E27FC236}">
              <a16:creationId xmlns:a16="http://schemas.microsoft.com/office/drawing/2014/main" id="{6B2079E5-B9C4-B66C-9799-36D83A34D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312420</xdr:colOff>
      <xdr:row>34</xdr:row>
      <xdr:rowOff>171450</xdr:rowOff>
    </xdr:from>
    <xdr:to>
      <xdr:col>12</xdr:col>
      <xdr:colOff>7620</xdr:colOff>
      <xdr:row>49</xdr:row>
      <xdr:rowOff>171450</xdr:rowOff>
    </xdr:to>
    <xdr:graphicFrame macro="">
      <xdr:nvGraphicFramePr>
        <xdr:cNvPr id="4" name="Chart 3">
          <a:extLst>
            <a:ext uri="{FF2B5EF4-FFF2-40B4-BE49-F238E27FC236}">
              <a16:creationId xmlns:a16="http://schemas.microsoft.com/office/drawing/2014/main" id="{F032AE6B-9B39-AB16-9D43-5C1ED0CBB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434340</xdr:colOff>
      <xdr:row>5</xdr:row>
      <xdr:rowOff>15240</xdr:rowOff>
    </xdr:from>
    <xdr:to>
      <xdr:col>8</xdr:col>
      <xdr:colOff>167640</xdr:colOff>
      <xdr:row>18</xdr:row>
      <xdr:rowOff>45720</xdr:rowOff>
    </xdr:to>
    <xdr:graphicFrame macro="">
      <xdr:nvGraphicFramePr>
        <xdr:cNvPr id="2" name="Chart 1">
          <a:extLst>
            <a:ext uri="{FF2B5EF4-FFF2-40B4-BE49-F238E27FC236}">
              <a16:creationId xmlns:a16="http://schemas.microsoft.com/office/drawing/2014/main" id="{C5761177-BE2C-475B-A613-4532DB7B5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396240</xdr:colOff>
      <xdr:row>18</xdr:row>
      <xdr:rowOff>53340</xdr:rowOff>
    </xdr:from>
    <xdr:to>
      <xdr:col>14</xdr:col>
      <xdr:colOff>601980</xdr:colOff>
      <xdr:row>31</xdr:row>
      <xdr:rowOff>137160</xdr:rowOff>
    </xdr:to>
    <xdr:graphicFrame macro="">
      <xdr:nvGraphicFramePr>
        <xdr:cNvPr id="3" name="Chart 2">
          <a:extLst>
            <a:ext uri="{FF2B5EF4-FFF2-40B4-BE49-F238E27FC236}">
              <a16:creationId xmlns:a16="http://schemas.microsoft.com/office/drawing/2014/main" id="{F2FB4518-2CB6-48BD-A357-0D99CB02E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160020</xdr:colOff>
      <xdr:row>5</xdr:row>
      <xdr:rowOff>15240</xdr:rowOff>
    </xdr:from>
    <xdr:to>
      <xdr:col>15</xdr:col>
      <xdr:colOff>7620</xdr:colOff>
      <xdr:row>18</xdr:row>
      <xdr:rowOff>45720</xdr:rowOff>
    </xdr:to>
    <xdr:graphicFrame macro="">
      <xdr:nvGraphicFramePr>
        <xdr:cNvPr id="4" name="Chart 3">
          <a:extLst>
            <a:ext uri="{FF2B5EF4-FFF2-40B4-BE49-F238E27FC236}">
              <a16:creationId xmlns:a16="http://schemas.microsoft.com/office/drawing/2014/main" id="{50BD89E1-54DD-4196-BE3B-7D3D5A3B1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17930</xdr:colOff>
      <xdr:row>5</xdr:row>
      <xdr:rowOff>15240</xdr:rowOff>
    </xdr:from>
    <xdr:to>
      <xdr:col>2</xdr:col>
      <xdr:colOff>421342</xdr:colOff>
      <xdr:row>10</xdr:row>
      <xdr:rowOff>3585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EA42988-37D3-2913-4F6C-216B705287E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930" y="1359946"/>
              <a:ext cx="1622612" cy="88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8965</xdr:colOff>
      <xdr:row>10</xdr:row>
      <xdr:rowOff>9414</xdr:rowOff>
    </xdr:from>
    <xdr:to>
      <xdr:col>2</xdr:col>
      <xdr:colOff>396240</xdr:colOff>
      <xdr:row>18</xdr:row>
      <xdr:rowOff>112508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8C73B8C-C7A9-95C7-1723-38D6C2423E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5" y="2250590"/>
              <a:ext cx="1606475" cy="1537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17929</xdr:colOff>
      <xdr:row>18</xdr:row>
      <xdr:rowOff>122370</xdr:rowOff>
    </xdr:from>
    <xdr:to>
      <xdr:col>2</xdr:col>
      <xdr:colOff>388620</xdr:colOff>
      <xdr:row>28</xdr:row>
      <xdr:rowOff>152849</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70A53240-4ECB-DD0C-134B-23A0DA0443E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929" y="3797899"/>
              <a:ext cx="1589891" cy="1823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k R" refreshedDate="45264.884522106484" createdVersion="8" refreshedVersion="8" minRefreshableVersion="3" recordCount="1000" xr:uid="{5E955106-2413-4211-9B86-93CDFB9F635D}">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52991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36B235-A44D-402D-BFF6-CB951D1B765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06B58-9BF2-4A93-8116-203804E47C2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E1D58E-3A09-4687-927C-DFFCE64AE25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C5E52CD-42BA-4EDA-A036-D68261600906}" sourceName="Marital Status">
  <pivotTables>
    <pivotTable tabId="4" name="PivotTable2"/>
    <pivotTable tabId="4" name="PivotTable1"/>
    <pivotTable tabId="4" name="PivotTable3"/>
  </pivotTables>
  <data>
    <tabular pivotCacheId="14529912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C3F585-F320-4C04-ACA1-C47E25EE42A2}" sourceName="Region">
  <pivotTables>
    <pivotTable tabId="4" name="PivotTable1"/>
    <pivotTable tabId="4" name="PivotTable2"/>
    <pivotTable tabId="4" name="PivotTable3"/>
  </pivotTables>
  <data>
    <tabular pivotCacheId="145299128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FAB13B-6246-4F2B-A1E7-B33F4A5673A5}" sourceName="Education">
  <pivotTables>
    <pivotTable tabId="4" name="PivotTable1"/>
    <pivotTable tabId="4" name="PivotTable2"/>
    <pivotTable tabId="4" name="PivotTable3"/>
  </pivotTables>
  <data>
    <tabular pivotCacheId="145299128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B497A92-3896-4CFE-9CEF-2BBB2AA9426E}" cache="Slicer_Marital_Status" caption="Marital Status" rowHeight="234950"/>
  <slicer name="Region" xr10:uid="{2B242AAD-3670-44B9-937B-8B458670FFBD}" cache="Slicer_Region" caption="Region" rowHeight="234950"/>
  <slicer name="Education" xr10:uid="{D9BE8260-0496-4771-AF95-C38B84BE05D6}"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4D6EB-E6CC-4543-B9D8-85A52F745AD2}">
  <dimension ref="A1:N1001"/>
  <sheetViews>
    <sheetView workbookViewId="0">
      <selection activeCell="N9" sqref="N9"/>
    </sheetView>
  </sheetViews>
  <sheetFormatPr defaultRowHeight="15" x14ac:dyDescent="0.25"/>
  <cols>
    <col min="1" max="1" width="6" bestFit="1" customWidth="1"/>
    <col min="2" max="2" width="19.5703125" bestFit="1" customWidth="1"/>
    <col min="3" max="3" width="9.140625" bestFit="1" customWidth="1"/>
    <col min="4" max="4" width="11" style="3" bestFit="1" customWidth="1"/>
    <col min="5" max="5" width="9.85546875" bestFit="1" customWidth="1"/>
    <col min="6" max="6" width="16.28515625" bestFit="1" customWidth="1"/>
    <col min="7" max="7" width="12.7109375" bestFit="1" customWidth="1"/>
    <col min="8" max="8" width="14" bestFit="1" customWidth="1"/>
    <col min="9" max="9" width="6.7109375" bestFit="1" customWidth="1"/>
    <col min="10" max="10" width="18.7109375" bestFit="1" customWidth="1"/>
    <col min="11" max="11" width="12.85546875" bestFit="1" customWidth="1"/>
    <col min="12" max="12" width="6.28515625" bestFit="1" customWidth="1"/>
    <col min="13" max="13" width="12.85546875" bestFit="1" customWidth="1"/>
    <col min="14" max="14" width="15.570312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37</v>
      </c>
      <c r="C2" t="s">
        <v>39</v>
      </c>
      <c r="D2" s="3">
        <v>40000</v>
      </c>
      <c r="E2">
        <v>1</v>
      </c>
      <c r="F2" t="s">
        <v>13</v>
      </c>
      <c r="G2" t="s">
        <v>14</v>
      </c>
      <c r="H2" t="s">
        <v>15</v>
      </c>
      <c r="I2">
        <v>0</v>
      </c>
      <c r="J2" t="s">
        <v>16</v>
      </c>
      <c r="K2" t="s">
        <v>17</v>
      </c>
      <c r="L2">
        <v>42</v>
      </c>
      <c r="M2" t="str">
        <f>IF(L2&gt;54,"Old", IF(L2&gt;=31,"Middle Age", IF(L2&lt;31,"Adolescent","Invalid")))</f>
        <v>Middle Age</v>
      </c>
      <c r="N2" t="s">
        <v>18</v>
      </c>
    </row>
    <row r="3" spans="1:14" x14ac:dyDescent="0.25">
      <c r="A3">
        <v>24107</v>
      </c>
      <c r="B3" t="s">
        <v>37</v>
      </c>
      <c r="C3" t="s">
        <v>36</v>
      </c>
      <c r="D3" s="3">
        <v>30000</v>
      </c>
      <c r="E3">
        <v>3</v>
      </c>
      <c r="F3" t="s">
        <v>19</v>
      </c>
      <c r="G3" t="s">
        <v>20</v>
      </c>
      <c r="H3" t="s">
        <v>15</v>
      </c>
      <c r="I3">
        <v>1</v>
      </c>
      <c r="J3" t="s">
        <v>16</v>
      </c>
      <c r="K3" t="s">
        <v>17</v>
      </c>
      <c r="L3">
        <v>43</v>
      </c>
      <c r="M3" t="str">
        <f t="shared" ref="M3:M66" si="0">IF(L3&gt;54,"Old", IF(L3&gt;=31,"Middle Age", IF(L3&lt;31,"Adolescent","Invalid")))</f>
        <v>Middle Age</v>
      </c>
      <c r="N3" t="s">
        <v>18</v>
      </c>
    </row>
    <row r="4" spans="1:14" x14ac:dyDescent="0.25">
      <c r="A4">
        <v>14177</v>
      </c>
      <c r="B4" t="s">
        <v>37</v>
      </c>
      <c r="C4" t="s">
        <v>36</v>
      </c>
      <c r="D4" s="3">
        <v>80000</v>
      </c>
      <c r="E4">
        <v>5</v>
      </c>
      <c r="F4" t="s">
        <v>19</v>
      </c>
      <c r="G4" t="s">
        <v>21</v>
      </c>
      <c r="H4" t="s">
        <v>18</v>
      </c>
      <c r="I4">
        <v>2</v>
      </c>
      <c r="J4" t="s">
        <v>22</v>
      </c>
      <c r="K4" t="s">
        <v>17</v>
      </c>
      <c r="L4">
        <v>60</v>
      </c>
      <c r="M4" t="str">
        <f t="shared" si="0"/>
        <v>Old</v>
      </c>
      <c r="N4" t="s">
        <v>18</v>
      </c>
    </row>
    <row r="5" spans="1:14" x14ac:dyDescent="0.25">
      <c r="A5">
        <v>24381</v>
      </c>
      <c r="B5" t="s">
        <v>38</v>
      </c>
      <c r="C5" t="s">
        <v>36</v>
      </c>
      <c r="D5" s="3">
        <v>70000</v>
      </c>
      <c r="E5">
        <v>0</v>
      </c>
      <c r="F5" t="s">
        <v>13</v>
      </c>
      <c r="G5" t="s">
        <v>21</v>
      </c>
      <c r="H5" t="s">
        <v>15</v>
      </c>
      <c r="I5">
        <v>1</v>
      </c>
      <c r="J5" t="s">
        <v>23</v>
      </c>
      <c r="K5" t="s">
        <v>24</v>
      </c>
      <c r="L5">
        <v>41</v>
      </c>
      <c r="M5" t="str">
        <f t="shared" si="0"/>
        <v>Middle Age</v>
      </c>
      <c r="N5" t="s">
        <v>15</v>
      </c>
    </row>
    <row r="6" spans="1:14" x14ac:dyDescent="0.25">
      <c r="A6">
        <v>25597</v>
      </c>
      <c r="B6" t="s">
        <v>38</v>
      </c>
      <c r="C6" t="s">
        <v>36</v>
      </c>
      <c r="D6" s="3">
        <v>30000</v>
      </c>
      <c r="E6">
        <v>0</v>
      </c>
      <c r="F6" t="s">
        <v>13</v>
      </c>
      <c r="G6" t="s">
        <v>20</v>
      </c>
      <c r="H6" t="s">
        <v>18</v>
      </c>
      <c r="I6">
        <v>0</v>
      </c>
      <c r="J6" t="s">
        <v>16</v>
      </c>
      <c r="K6" t="s">
        <v>17</v>
      </c>
      <c r="L6">
        <v>36</v>
      </c>
      <c r="M6" t="str">
        <f t="shared" si="0"/>
        <v>Middle Age</v>
      </c>
      <c r="N6" t="s">
        <v>15</v>
      </c>
    </row>
    <row r="7" spans="1:14" x14ac:dyDescent="0.25">
      <c r="A7">
        <v>13507</v>
      </c>
      <c r="B7" t="s">
        <v>37</v>
      </c>
      <c r="C7" t="s">
        <v>39</v>
      </c>
      <c r="D7" s="3">
        <v>10000</v>
      </c>
      <c r="E7">
        <v>2</v>
      </c>
      <c r="F7" t="s">
        <v>19</v>
      </c>
      <c r="G7" t="s">
        <v>25</v>
      </c>
      <c r="H7" t="s">
        <v>15</v>
      </c>
      <c r="I7">
        <v>0</v>
      </c>
      <c r="J7" t="s">
        <v>26</v>
      </c>
      <c r="K7" t="s">
        <v>17</v>
      </c>
      <c r="L7">
        <v>50</v>
      </c>
      <c r="M7" t="str">
        <f t="shared" si="0"/>
        <v>Middle Age</v>
      </c>
      <c r="N7" t="s">
        <v>18</v>
      </c>
    </row>
    <row r="8" spans="1:14" x14ac:dyDescent="0.25">
      <c r="A8">
        <v>27974</v>
      </c>
      <c r="B8" t="s">
        <v>38</v>
      </c>
      <c r="C8" t="s">
        <v>36</v>
      </c>
      <c r="D8" s="3">
        <v>160000</v>
      </c>
      <c r="E8">
        <v>2</v>
      </c>
      <c r="F8" t="s">
        <v>27</v>
      </c>
      <c r="G8" t="s">
        <v>28</v>
      </c>
      <c r="H8" t="s">
        <v>15</v>
      </c>
      <c r="I8">
        <v>4</v>
      </c>
      <c r="J8" t="s">
        <v>16</v>
      </c>
      <c r="K8" t="s">
        <v>24</v>
      </c>
      <c r="L8">
        <v>33</v>
      </c>
      <c r="M8" t="str">
        <f t="shared" si="0"/>
        <v>Middle Age</v>
      </c>
      <c r="N8" t="s">
        <v>15</v>
      </c>
    </row>
    <row r="9" spans="1:14" x14ac:dyDescent="0.25">
      <c r="A9">
        <v>19364</v>
      </c>
      <c r="B9" t="s">
        <v>37</v>
      </c>
      <c r="C9" t="s">
        <v>36</v>
      </c>
      <c r="D9" s="3">
        <v>40000</v>
      </c>
      <c r="E9">
        <v>1</v>
      </c>
      <c r="F9" t="s">
        <v>13</v>
      </c>
      <c r="G9" t="s">
        <v>14</v>
      </c>
      <c r="H9" t="s">
        <v>15</v>
      </c>
      <c r="I9">
        <v>0</v>
      </c>
      <c r="J9" t="s">
        <v>16</v>
      </c>
      <c r="K9" t="s">
        <v>17</v>
      </c>
      <c r="L9">
        <v>43</v>
      </c>
      <c r="M9" t="str">
        <f t="shared" si="0"/>
        <v>Middle Age</v>
      </c>
      <c r="N9" t="s">
        <v>15</v>
      </c>
    </row>
    <row r="10" spans="1:14" x14ac:dyDescent="0.25">
      <c r="A10">
        <v>22155</v>
      </c>
      <c r="B10" t="s">
        <v>37</v>
      </c>
      <c r="C10" t="s">
        <v>36</v>
      </c>
      <c r="D10" s="3">
        <v>20000</v>
      </c>
      <c r="E10">
        <v>2</v>
      </c>
      <c r="F10" t="s">
        <v>29</v>
      </c>
      <c r="G10" t="s">
        <v>20</v>
      </c>
      <c r="H10" t="s">
        <v>15</v>
      </c>
      <c r="I10">
        <v>2</v>
      </c>
      <c r="J10" t="s">
        <v>23</v>
      </c>
      <c r="K10" t="s">
        <v>24</v>
      </c>
      <c r="L10">
        <v>58</v>
      </c>
      <c r="M10" t="str">
        <f t="shared" si="0"/>
        <v>Old</v>
      </c>
      <c r="N10" t="s">
        <v>18</v>
      </c>
    </row>
    <row r="11" spans="1:14" x14ac:dyDescent="0.25">
      <c r="A11">
        <v>19280</v>
      </c>
      <c r="B11" t="s">
        <v>37</v>
      </c>
      <c r="C11" t="s">
        <v>36</v>
      </c>
      <c r="D11" s="3">
        <v>120000</v>
      </c>
      <c r="E11">
        <v>2</v>
      </c>
      <c r="F11" t="s">
        <v>19</v>
      </c>
      <c r="G11" t="s">
        <v>25</v>
      </c>
      <c r="H11" t="s">
        <v>15</v>
      </c>
      <c r="I11">
        <v>1</v>
      </c>
      <c r="J11" t="s">
        <v>16</v>
      </c>
      <c r="K11" t="s">
        <v>17</v>
      </c>
      <c r="L11">
        <v>40</v>
      </c>
      <c r="M11" t="str">
        <f t="shared" si="0"/>
        <v>Middle Age</v>
      </c>
      <c r="N11" t="s">
        <v>15</v>
      </c>
    </row>
    <row r="12" spans="1:14" x14ac:dyDescent="0.25">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38</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37</v>
      </c>
      <c r="C14" t="s">
        <v>36</v>
      </c>
      <c r="D14" s="3">
        <v>170000</v>
      </c>
      <c r="E14">
        <v>5</v>
      </c>
      <c r="F14" t="s">
        <v>19</v>
      </c>
      <c r="G14" t="s">
        <v>21</v>
      </c>
      <c r="H14" t="s">
        <v>15</v>
      </c>
      <c r="I14">
        <v>0</v>
      </c>
      <c r="J14" t="s">
        <v>16</v>
      </c>
      <c r="K14" t="s">
        <v>17</v>
      </c>
      <c r="L14">
        <v>55</v>
      </c>
      <c r="M14" t="str">
        <f t="shared" si="0"/>
        <v>Old</v>
      </c>
      <c r="N14" t="s">
        <v>18</v>
      </c>
    </row>
    <row r="15" spans="1:14" x14ac:dyDescent="0.25">
      <c r="A15">
        <v>25323</v>
      </c>
      <c r="B15" t="s">
        <v>37</v>
      </c>
      <c r="C15" t="s">
        <v>36</v>
      </c>
      <c r="D15" s="3">
        <v>40000</v>
      </c>
      <c r="E15">
        <v>2</v>
      </c>
      <c r="F15" t="s">
        <v>19</v>
      </c>
      <c r="G15" t="s">
        <v>20</v>
      </c>
      <c r="H15" t="s">
        <v>15</v>
      </c>
      <c r="I15">
        <v>1</v>
      </c>
      <c r="J15" t="s">
        <v>26</v>
      </c>
      <c r="K15" t="s">
        <v>17</v>
      </c>
      <c r="L15">
        <v>35</v>
      </c>
      <c r="M15" t="str">
        <f t="shared" si="0"/>
        <v>Middle Age</v>
      </c>
      <c r="N15" t="s">
        <v>15</v>
      </c>
    </row>
    <row r="16" spans="1:14" x14ac:dyDescent="0.25">
      <c r="A16">
        <v>23542</v>
      </c>
      <c r="B16" t="s">
        <v>38</v>
      </c>
      <c r="C16" t="s">
        <v>36</v>
      </c>
      <c r="D16" s="3">
        <v>60000</v>
      </c>
      <c r="E16">
        <v>1</v>
      </c>
      <c r="F16" t="s">
        <v>19</v>
      </c>
      <c r="G16" t="s">
        <v>14</v>
      </c>
      <c r="H16" t="s">
        <v>18</v>
      </c>
      <c r="I16">
        <v>1</v>
      </c>
      <c r="J16" t="s">
        <v>16</v>
      </c>
      <c r="K16" t="s">
        <v>24</v>
      </c>
      <c r="L16">
        <v>45</v>
      </c>
      <c r="M16" t="str">
        <f t="shared" si="0"/>
        <v>Middle Age</v>
      </c>
      <c r="N16" t="s">
        <v>15</v>
      </c>
    </row>
    <row r="17" spans="1:14" x14ac:dyDescent="0.25">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38</v>
      </c>
      <c r="C18" t="s">
        <v>36</v>
      </c>
      <c r="D18" s="3">
        <v>30000</v>
      </c>
      <c r="E18">
        <v>3</v>
      </c>
      <c r="F18" t="s">
        <v>19</v>
      </c>
      <c r="G18" t="s">
        <v>20</v>
      </c>
      <c r="H18" t="s">
        <v>18</v>
      </c>
      <c r="I18">
        <v>2</v>
      </c>
      <c r="J18" t="s">
        <v>26</v>
      </c>
      <c r="K18" t="s">
        <v>24</v>
      </c>
      <c r="L18">
        <v>59</v>
      </c>
      <c r="M18" t="str">
        <f t="shared" si="0"/>
        <v>Old</v>
      </c>
      <c r="N18" t="s">
        <v>15</v>
      </c>
    </row>
    <row r="19" spans="1:14" x14ac:dyDescent="0.2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38</v>
      </c>
      <c r="C20" t="s">
        <v>36</v>
      </c>
      <c r="D20" s="3">
        <v>40000</v>
      </c>
      <c r="E20">
        <v>2</v>
      </c>
      <c r="F20" t="s">
        <v>19</v>
      </c>
      <c r="G20" t="s">
        <v>20</v>
      </c>
      <c r="H20" t="s">
        <v>15</v>
      </c>
      <c r="I20">
        <v>1</v>
      </c>
      <c r="J20" t="s">
        <v>26</v>
      </c>
      <c r="K20" t="s">
        <v>17</v>
      </c>
      <c r="L20">
        <v>35</v>
      </c>
      <c r="M20" t="str">
        <f t="shared" si="0"/>
        <v>Middle Age</v>
      </c>
      <c r="N20" t="s">
        <v>15</v>
      </c>
    </row>
    <row r="21" spans="1:14" x14ac:dyDescent="0.25">
      <c r="A21">
        <v>25940</v>
      </c>
      <c r="B21" t="s">
        <v>38</v>
      </c>
      <c r="C21" t="s">
        <v>36</v>
      </c>
      <c r="D21" s="3">
        <v>20000</v>
      </c>
      <c r="E21">
        <v>2</v>
      </c>
      <c r="F21" t="s">
        <v>29</v>
      </c>
      <c r="G21" t="s">
        <v>20</v>
      </c>
      <c r="H21" t="s">
        <v>15</v>
      </c>
      <c r="I21">
        <v>2</v>
      </c>
      <c r="J21" t="s">
        <v>23</v>
      </c>
      <c r="K21" t="s">
        <v>24</v>
      </c>
      <c r="L21">
        <v>55</v>
      </c>
      <c r="M21" t="str">
        <f t="shared" si="0"/>
        <v>Old</v>
      </c>
      <c r="N21" t="s">
        <v>15</v>
      </c>
    </row>
    <row r="22" spans="1:14" x14ac:dyDescent="0.2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38</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38</v>
      </c>
      <c r="C24" t="s">
        <v>36</v>
      </c>
      <c r="D24" s="3">
        <v>40000</v>
      </c>
      <c r="E24">
        <v>2</v>
      </c>
      <c r="F24" t="s">
        <v>19</v>
      </c>
      <c r="G24" t="s">
        <v>20</v>
      </c>
      <c r="H24" t="s">
        <v>15</v>
      </c>
      <c r="I24">
        <v>0</v>
      </c>
      <c r="J24" t="s">
        <v>26</v>
      </c>
      <c r="K24" t="s">
        <v>17</v>
      </c>
      <c r="L24">
        <v>35</v>
      </c>
      <c r="M24" t="str">
        <f t="shared" si="0"/>
        <v>Middle Age</v>
      </c>
      <c r="N24" t="s">
        <v>15</v>
      </c>
    </row>
    <row r="25" spans="1:14" x14ac:dyDescent="0.2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38</v>
      </c>
      <c r="C26" t="s">
        <v>36</v>
      </c>
      <c r="D26" s="3">
        <v>40000</v>
      </c>
      <c r="E26">
        <v>2</v>
      </c>
      <c r="F26" t="s">
        <v>19</v>
      </c>
      <c r="G26" t="s">
        <v>20</v>
      </c>
      <c r="H26" t="s">
        <v>18</v>
      </c>
      <c r="I26">
        <v>1</v>
      </c>
      <c r="J26" t="s">
        <v>16</v>
      </c>
      <c r="K26" t="s">
        <v>17</v>
      </c>
      <c r="L26">
        <v>34</v>
      </c>
      <c r="M26" t="str">
        <f t="shared" si="0"/>
        <v>Middle Age</v>
      </c>
      <c r="N26" t="s">
        <v>18</v>
      </c>
    </row>
    <row r="27" spans="1:14" x14ac:dyDescent="0.25">
      <c r="A27">
        <v>12590</v>
      </c>
      <c r="B27" t="s">
        <v>38</v>
      </c>
      <c r="C27" t="s">
        <v>36</v>
      </c>
      <c r="D27" s="3">
        <v>30000</v>
      </c>
      <c r="E27">
        <v>1</v>
      </c>
      <c r="F27" t="s">
        <v>13</v>
      </c>
      <c r="G27" t="s">
        <v>20</v>
      </c>
      <c r="H27" t="s">
        <v>15</v>
      </c>
      <c r="I27">
        <v>0</v>
      </c>
      <c r="J27" t="s">
        <v>16</v>
      </c>
      <c r="K27" t="s">
        <v>17</v>
      </c>
      <c r="L27">
        <v>63</v>
      </c>
      <c r="M27" t="str">
        <f t="shared" si="0"/>
        <v>Old</v>
      </c>
      <c r="N27" t="s">
        <v>18</v>
      </c>
    </row>
    <row r="28" spans="1:14" x14ac:dyDescent="0.25">
      <c r="A28">
        <v>17841</v>
      </c>
      <c r="B28" t="s">
        <v>38</v>
      </c>
      <c r="C28" t="s">
        <v>36</v>
      </c>
      <c r="D28" s="3">
        <v>30000</v>
      </c>
      <c r="E28">
        <v>0</v>
      </c>
      <c r="F28" t="s">
        <v>19</v>
      </c>
      <c r="G28" t="s">
        <v>20</v>
      </c>
      <c r="H28" t="s">
        <v>18</v>
      </c>
      <c r="I28">
        <v>1</v>
      </c>
      <c r="J28" t="s">
        <v>16</v>
      </c>
      <c r="K28" t="s">
        <v>17</v>
      </c>
      <c r="L28">
        <v>29</v>
      </c>
      <c r="M28" t="str">
        <f t="shared" si="0"/>
        <v>Adolescent</v>
      </c>
      <c r="N28" t="s">
        <v>15</v>
      </c>
    </row>
    <row r="29" spans="1:14" x14ac:dyDescent="0.25">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37</v>
      </c>
      <c r="C30" t="s">
        <v>36</v>
      </c>
      <c r="D30" s="3">
        <v>70000</v>
      </c>
      <c r="E30">
        <v>5</v>
      </c>
      <c r="F30" t="s">
        <v>19</v>
      </c>
      <c r="G30" t="s">
        <v>14</v>
      </c>
      <c r="H30" t="s">
        <v>15</v>
      </c>
      <c r="I30">
        <v>2</v>
      </c>
      <c r="J30" t="s">
        <v>23</v>
      </c>
      <c r="K30" t="s">
        <v>24</v>
      </c>
      <c r="L30">
        <v>44</v>
      </c>
      <c r="M30" t="str">
        <f t="shared" si="0"/>
        <v>Middle Age</v>
      </c>
      <c r="N30" t="s">
        <v>18</v>
      </c>
    </row>
    <row r="31" spans="1:14" x14ac:dyDescent="0.25">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37</v>
      </c>
      <c r="C33" t="s">
        <v>36</v>
      </c>
      <c r="D33" s="3">
        <v>10000</v>
      </c>
      <c r="E33">
        <v>0</v>
      </c>
      <c r="F33" t="s">
        <v>19</v>
      </c>
      <c r="G33" t="s">
        <v>25</v>
      </c>
      <c r="H33" t="s">
        <v>18</v>
      </c>
      <c r="I33">
        <v>1</v>
      </c>
      <c r="J33" t="s">
        <v>16</v>
      </c>
      <c r="K33" t="s">
        <v>24</v>
      </c>
      <c r="L33">
        <v>26</v>
      </c>
      <c r="M33" t="str">
        <f t="shared" si="0"/>
        <v>Adolescent</v>
      </c>
      <c r="N33" t="s">
        <v>15</v>
      </c>
    </row>
    <row r="34" spans="1:14" x14ac:dyDescent="0.25">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38</v>
      </c>
      <c r="C35" t="s">
        <v>36</v>
      </c>
      <c r="D35" s="3">
        <v>80000</v>
      </c>
      <c r="E35">
        <v>2</v>
      </c>
      <c r="F35" t="s">
        <v>27</v>
      </c>
      <c r="G35" t="s">
        <v>14</v>
      </c>
      <c r="H35" t="s">
        <v>18</v>
      </c>
      <c r="I35">
        <v>2</v>
      </c>
      <c r="J35" t="s">
        <v>26</v>
      </c>
      <c r="K35" t="s">
        <v>24</v>
      </c>
      <c r="L35">
        <v>50</v>
      </c>
      <c r="M35" t="str">
        <f t="shared" si="0"/>
        <v>Middle Age</v>
      </c>
      <c r="N35" t="s">
        <v>15</v>
      </c>
    </row>
    <row r="36" spans="1:14" x14ac:dyDescent="0.25">
      <c r="A36">
        <v>12291</v>
      </c>
      <c r="B36" t="s">
        <v>38</v>
      </c>
      <c r="C36" t="s">
        <v>36</v>
      </c>
      <c r="D36" s="3">
        <v>90000</v>
      </c>
      <c r="E36">
        <v>5</v>
      </c>
      <c r="F36" t="s">
        <v>19</v>
      </c>
      <c r="G36" t="s">
        <v>21</v>
      </c>
      <c r="H36" t="s">
        <v>18</v>
      </c>
      <c r="I36">
        <v>2</v>
      </c>
      <c r="J36" t="s">
        <v>22</v>
      </c>
      <c r="K36" t="s">
        <v>17</v>
      </c>
      <c r="L36">
        <v>62</v>
      </c>
      <c r="M36" t="str">
        <f t="shared" si="0"/>
        <v>Old</v>
      </c>
      <c r="N36" t="s">
        <v>15</v>
      </c>
    </row>
    <row r="37" spans="1:14" x14ac:dyDescent="0.25">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38</v>
      </c>
      <c r="C40" t="s">
        <v>36</v>
      </c>
      <c r="D40" s="3">
        <v>20000</v>
      </c>
      <c r="E40">
        <v>0</v>
      </c>
      <c r="F40" t="s">
        <v>27</v>
      </c>
      <c r="G40" t="s">
        <v>25</v>
      </c>
      <c r="H40" t="s">
        <v>18</v>
      </c>
      <c r="I40">
        <v>1</v>
      </c>
      <c r="J40" t="s">
        <v>22</v>
      </c>
      <c r="K40" t="s">
        <v>17</v>
      </c>
      <c r="L40">
        <v>28</v>
      </c>
      <c r="M40" t="str">
        <f t="shared" si="0"/>
        <v>Adolescent</v>
      </c>
      <c r="N40" t="s">
        <v>18</v>
      </c>
    </row>
    <row r="41" spans="1:14" x14ac:dyDescent="0.25">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37</v>
      </c>
      <c r="C50" t="s">
        <v>36</v>
      </c>
      <c r="D50" s="3">
        <v>30000</v>
      </c>
      <c r="E50">
        <v>2</v>
      </c>
      <c r="F50" t="s">
        <v>19</v>
      </c>
      <c r="G50" t="s">
        <v>20</v>
      </c>
      <c r="H50" t="s">
        <v>18</v>
      </c>
      <c r="I50">
        <v>2</v>
      </c>
      <c r="J50" t="s">
        <v>16</v>
      </c>
      <c r="K50" t="s">
        <v>17</v>
      </c>
      <c r="L50">
        <v>42</v>
      </c>
      <c r="M50" t="str">
        <f t="shared" si="0"/>
        <v>Middle Age</v>
      </c>
      <c r="N50" t="s">
        <v>18</v>
      </c>
    </row>
    <row r="51" spans="1:14" x14ac:dyDescent="0.25">
      <c r="A51">
        <v>14939</v>
      </c>
      <c r="B51" t="s">
        <v>38</v>
      </c>
      <c r="C51" t="s">
        <v>36</v>
      </c>
      <c r="D51" s="3">
        <v>40000</v>
      </c>
      <c r="E51">
        <v>0</v>
      </c>
      <c r="F51" t="s">
        <v>13</v>
      </c>
      <c r="G51" t="s">
        <v>20</v>
      </c>
      <c r="H51" t="s">
        <v>15</v>
      </c>
      <c r="I51">
        <v>0</v>
      </c>
      <c r="J51" t="s">
        <v>16</v>
      </c>
      <c r="K51" t="s">
        <v>17</v>
      </c>
      <c r="L51">
        <v>39</v>
      </c>
      <c r="M51" t="str">
        <f t="shared" si="0"/>
        <v>Middle Age</v>
      </c>
      <c r="N51" t="s">
        <v>15</v>
      </c>
    </row>
    <row r="52" spans="1:14" x14ac:dyDescent="0.25">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38</v>
      </c>
      <c r="C53" t="s">
        <v>36</v>
      </c>
      <c r="D53" s="3">
        <v>80000</v>
      </c>
      <c r="E53">
        <v>0</v>
      </c>
      <c r="F53" t="s">
        <v>13</v>
      </c>
      <c r="G53" t="s">
        <v>21</v>
      </c>
      <c r="H53" t="s">
        <v>18</v>
      </c>
      <c r="I53">
        <v>4</v>
      </c>
      <c r="J53" t="s">
        <v>46</v>
      </c>
      <c r="K53" t="s">
        <v>24</v>
      </c>
      <c r="L53">
        <v>35</v>
      </c>
      <c r="M53" t="str">
        <f t="shared" si="0"/>
        <v>Middle Age</v>
      </c>
      <c r="N53" t="s">
        <v>18</v>
      </c>
    </row>
    <row r="54" spans="1:14" x14ac:dyDescent="0.2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37</v>
      </c>
      <c r="C57" t="s">
        <v>36</v>
      </c>
      <c r="D57" s="3">
        <v>80000</v>
      </c>
      <c r="E57">
        <v>4</v>
      </c>
      <c r="F57" t="s">
        <v>27</v>
      </c>
      <c r="G57" t="s">
        <v>21</v>
      </c>
      <c r="H57" t="s">
        <v>15</v>
      </c>
      <c r="I57">
        <v>2</v>
      </c>
      <c r="J57" t="s">
        <v>46</v>
      </c>
      <c r="K57" t="s">
        <v>17</v>
      </c>
      <c r="L57">
        <v>54</v>
      </c>
      <c r="M57" t="str">
        <f t="shared" si="0"/>
        <v>Middle Age</v>
      </c>
      <c r="N57" t="s">
        <v>18</v>
      </c>
    </row>
    <row r="58" spans="1:14" x14ac:dyDescent="0.25">
      <c r="A58">
        <v>12808</v>
      </c>
      <c r="B58" t="s">
        <v>37</v>
      </c>
      <c r="C58" t="s">
        <v>36</v>
      </c>
      <c r="D58" s="3">
        <v>40000</v>
      </c>
      <c r="E58">
        <v>0</v>
      </c>
      <c r="F58" t="s">
        <v>13</v>
      </c>
      <c r="G58" t="s">
        <v>20</v>
      </c>
      <c r="H58" t="s">
        <v>15</v>
      </c>
      <c r="I58">
        <v>0</v>
      </c>
      <c r="J58" t="s">
        <v>16</v>
      </c>
      <c r="K58" t="s">
        <v>17</v>
      </c>
      <c r="L58">
        <v>38</v>
      </c>
      <c r="M58" t="str">
        <f t="shared" si="0"/>
        <v>Middle Age</v>
      </c>
      <c r="N58" t="s">
        <v>15</v>
      </c>
    </row>
    <row r="59" spans="1:14" x14ac:dyDescent="0.25">
      <c r="A59">
        <v>20567</v>
      </c>
      <c r="B59" t="s">
        <v>37</v>
      </c>
      <c r="C59" t="s">
        <v>36</v>
      </c>
      <c r="D59" s="3">
        <v>130000</v>
      </c>
      <c r="E59">
        <v>4</v>
      </c>
      <c r="F59" t="s">
        <v>19</v>
      </c>
      <c r="G59" t="s">
        <v>21</v>
      </c>
      <c r="H59" t="s">
        <v>18</v>
      </c>
      <c r="I59">
        <v>4</v>
      </c>
      <c r="J59" t="s">
        <v>23</v>
      </c>
      <c r="K59" t="s">
        <v>17</v>
      </c>
      <c r="L59">
        <v>61</v>
      </c>
      <c r="M59" t="str">
        <f t="shared" si="0"/>
        <v>Old</v>
      </c>
      <c r="N59" t="s">
        <v>15</v>
      </c>
    </row>
    <row r="60" spans="1:14" x14ac:dyDescent="0.2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37</v>
      </c>
      <c r="C61" t="s">
        <v>36</v>
      </c>
      <c r="D61" s="3">
        <v>60000</v>
      </c>
      <c r="E61">
        <v>2</v>
      </c>
      <c r="F61" t="s">
        <v>13</v>
      </c>
      <c r="G61" t="s">
        <v>21</v>
      </c>
      <c r="H61" t="s">
        <v>15</v>
      </c>
      <c r="I61">
        <v>1</v>
      </c>
      <c r="J61" t="s">
        <v>22</v>
      </c>
      <c r="K61" t="s">
        <v>24</v>
      </c>
      <c r="L61">
        <v>38</v>
      </c>
      <c r="M61" t="str">
        <f t="shared" si="0"/>
        <v>Middle Age</v>
      </c>
      <c r="N61" t="s">
        <v>15</v>
      </c>
    </row>
    <row r="62" spans="1:14" x14ac:dyDescent="0.25">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37</v>
      </c>
      <c r="C64" t="s">
        <v>36</v>
      </c>
      <c r="D64" s="3">
        <v>40000</v>
      </c>
      <c r="E64">
        <v>2</v>
      </c>
      <c r="F64" t="s">
        <v>13</v>
      </c>
      <c r="G64" t="s">
        <v>28</v>
      </c>
      <c r="H64" t="s">
        <v>15</v>
      </c>
      <c r="I64">
        <v>1</v>
      </c>
      <c r="J64" t="s">
        <v>16</v>
      </c>
      <c r="K64" t="s">
        <v>24</v>
      </c>
      <c r="L64">
        <v>52</v>
      </c>
      <c r="M64" t="str">
        <f t="shared" si="0"/>
        <v>Middle Age</v>
      </c>
      <c r="N64" t="s">
        <v>15</v>
      </c>
    </row>
    <row r="65" spans="1:14" x14ac:dyDescent="0.25">
      <c r="A65">
        <v>16185</v>
      </c>
      <c r="B65" t="s">
        <v>38</v>
      </c>
      <c r="C65" t="s">
        <v>36</v>
      </c>
      <c r="D65" s="3">
        <v>60000</v>
      </c>
      <c r="E65">
        <v>4</v>
      </c>
      <c r="F65" t="s">
        <v>13</v>
      </c>
      <c r="G65" t="s">
        <v>21</v>
      </c>
      <c r="H65" t="s">
        <v>15</v>
      </c>
      <c r="I65">
        <v>3</v>
      </c>
      <c r="J65" t="s">
        <v>46</v>
      </c>
      <c r="K65" t="s">
        <v>24</v>
      </c>
      <c r="L65">
        <v>41</v>
      </c>
      <c r="M65" t="str">
        <f t="shared" si="0"/>
        <v>Middle Age</v>
      </c>
      <c r="N65" t="s">
        <v>18</v>
      </c>
    </row>
    <row r="66" spans="1:14" x14ac:dyDescent="0.2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38</v>
      </c>
      <c r="C67" t="s">
        <v>36</v>
      </c>
      <c r="D67" s="3">
        <v>30000</v>
      </c>
      <c r="E67">
        <v>2</v>
      </c>
      <c r="F67" t="s">
        <v>19</v>
      </c>
      <c r="G67" t="s">
        <v>20</v>
      </c>
      <c r="H67" t="s">
        <v>15</v>
      </c>
      <c r="I67">
        <v>2</v>
      </c>
      <c r="J67" t="s">
        <v>23</v>
      </c>
      <c r="K67" t="s">
        <v>24</v>
      </c>
      <c r="L67">
        <v>68</v>
      </c>
      <c r="M67" t="str">
        <f t="shared" ref="M67:M130" si="1">IF(L67&gt;54,"Old", IF(L67&gt;=31,"Middle Age", IF(L67&lt;31,"Adolescent","Invalid")))</f>
        <v>Old</v>
      </c>
      <c r="N67" t="s">
        <v>18</v>
      </c>
    </row>
    <row r="68" spans="1:14" x14ac:dyDescent="0.2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38</v>
      </c>
      <c r="C69" t="s">
        <v>36</v>
      </c>
      <c r="D69" s="3">
        <v>30000</v>
      </c>
      <c r="E69">
        <v>0</v>
      </c>
      <c r="F69" t="s">
        <v>27</v>
      </c>
      <c r="G69" t="s">
        <v>25</v>
      </c>
      <c r="H69" t="s">
        <v>15</v>
      </c>
      <c r="I69">
        <v>1</v>
      </c>
      <c r="J69" t="s">
        <v>22</v>
      </c>
      <c r="K69" t="s">
        <v>17</v>
      </c>
      <c r="L69">
        <v>33</v>
      </c>
      <c r="M69" t="str">
        <f t="shared" si="1"/>
        <v>Middle Age</v>
      </c>
      <c r="N69" t="s">
        <v>15</v>
      </c>
    </row>
    <row r="70" spans="1:14" x14ac:dyDescent="0.25">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37</v>
      </c>
      <c r="C72" t="s">
        <v>36</v>
      </c>
      <c r="D72" s="3">
        <v>120000</v>
      </c>
      <c r="E72">
        <v>0</v>
      </c>
      <c r="F72" t="s">
        <v>29</v>
      </c>
      <c r="G72" t="s">
        <v>21</v>
      </c>
      <c r="H72" t="s">
        <v>15</v>
      </c>
      <c r="I72">
        <v>4</v>
      </c>
      <c r="J72" t="s">
        <v>46</v>
      </c>
      <c r="K72" t="s">
        <v>24</v>
      </c>
      <c r="L72">
        <v>36</v>
      </c>
      <c r="M72" t="str">
        <f t="shared" si="1"/>
        <v>Middle Age</v>
      </c>
      <c r="N72" t="s">
        <v>15</v>
      </c>
    </row>
    <row r="73" spans="1:14" x14ac:dyDescent="0.25">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37</v>
      </c>
      <c r="C79" t="s">
        <v>36</v>
      </c>
      <c r="D79" s="3">
        <v>80000</v>
      </c>
      <c r="E79">
        <v>0</v>
      </c>
      <c r="F79" t="s">
        <v>13</v>
      </c>
      <c r="G79" t="s">
        <v>21</v>
      </c>
      <c r="H79" t="s">
        <v>15</v>
      </c>
      <c r="I79">
        <v>2</v>
      </c>
      <c r="J79" t="s">
        <v>46</v>
      </c>
      <c r="K79" t="s">
        <v>24</v>
      </c>
      <c r="L79">
        <v>29</v>
      </c>
      <c r="M79" t="str">
        <f t="shared" si="1"/>
        <v>Adolescent</v>
      </c>
      <c r="N79" t="s">
        <v>15</v>
      </c>
    </row>
    <row r="80" spans="1:14" x14ac:dyDescent="0.25">
      <c r="A80">
        <v>15752</v>
      </c>
      <c r="B80" t="s">
        <v>37</v>
      </c>
      <c r="C80" t="s">
        <v>36</v>
      </c>
      <c r="D80" s="3">
        <v>80000</v>
      </c>
      <c r="E80">
        <v>2</v>
      </c>
      <c r="F80" t="s">
        <v>27</v>
      </c>
      <c r="G80" t="s">
        <v>14</v>
      </c>
      <c r="H80" t="s">
        <v>18</v>
      </c>
      <c r="I80">
        <v>2</v>
      </c>
      <c r="J80" t="s">
        <v>26</v>
      </c>
      <c r="K80" t="s">
        <v>24</v>
      </c>
      <c r="L80">
        <v>50</v>
      </c>
      <c r="M80" t="str">
        <f t="shared" si="1"/>
        <v>Middle Age</v>
      </c>
      <c r="N80" t="s">
        <v>15</v>
      </c>
    </row>
    <row r="81" spans="1:14" x14ac:dyDescent="0.25">
      <c r="A81">
        <v>27745</v>
      </c>
      <c r="B81" t="s">
        <v>38</v>
      </c>
      <c r="C81" t="s">
        <v>36</v>
      </c>
      <c r="D81" s="3">
        <v>40000</v>
      </c>
      <c r="E81">
        <v>2</v>
      </c>
      <c r="F81" t="s">
        <v>13</v>
      </c>
      <c r="G81" t="s">
        <v>28</v>
      </c>
      <c r="H81" t="s">
        <v>15</v>
      </c>
      <c r="I81">
        <v>2</v>
      </c>
      <c r="J81" t="s">
        <v>23</v>
      </c>
      <c r="K81" t="s">
        <v>24</v>
      </c>
      <c r="L81">
        <v>63</v>
      </c>
      <c r="M81" t="str">
        <f t="shared" si="1"/>
        <v>Old</v>
      </c>
      <c r="N81" t="s">
        <v>15</v>
      </c>
    </row>
    <row r="82" spans="1:14" x14ac:dyDescent="0.2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37</v>
      </c>
      <c r="C84" t="s">
        <v>36</v>
      </c>
      <c r="D84" s="3">
        <v>30000</v>
      </c>
      <c r="E84">
        <v>0</v>
      </c>
      <c r="F84" t="s">
        <v>13</v>
      </c>
      <c r="G84" t="s">
        <v>20</v>
      </c>
      <c r="H84" t="s">
        <v>15</v>
      </c>
      <c r="I84">
        <v>0</v>
      </c>
      <c r="J84" t="s">
        <v>16</v>
      </c>
      <c r="K84" t="s">
        <v>17</v>
      </c>
      <c r="L84">
        <v>47</v>
      </c>
      <c r="M84" t="str">
        <f t="shared" si="1"/>
        <v>Middle Age</v>
      </c>
      <c r="N84" t="s">
        <v>15</v>
      </c>
    </row>
    <row r="85" spans="1:14" x14ac:dyDescent="0.25">
      <c r="A85">
        <v>28412</v>
      </c>
      <c r="B85" t="s">
        <v>38</v>
      </c>
      <c r="C85" t="s">
        <v>36</v>
      </c>
      <c r="D85" s="3">
        <v>20000</v>
      </c>
      <c r="E85">
        <v>0</v>
      </c>
      <c r="F85" t="s">
        <v>27</v>
      </c>
      <c r="G85" t="s">
        <v>25</v>
      </c>
      <c r="H85" t="s">
        <v>18</v>
      </c>
      <c r="I85">
        <v>1</v>
      </c>
      <c r="J85" t="s">
        <v>22</v>
      </c>
      <c r="K85" t="s">
        <v>17</v>
      </c>
      <c r="L85">
        <v>29</v>
      </c>
      <c r="M85" t="str">
        <f t="shared" si="1"/>
        <v>Adolescent</v>
      </c>
      <c r="N85" t="s">
        <v>18</v>
      </c>
    </row>
    <row r="86" spans="1:14" x14ac:dyDescent="0.25">
      <c r="A86">
        <v>24485</v>
      </c>
      <c r="B86" t="s">
        <v>38</v>
      </c>
      <c r="C86" t="s">
        <v>36</v>
      </c>
      <c r="D86" s="3">
        <v>40000</v>
      </c>
      <c r="E86">
        <v>2</v>
      </c>
      <c r="F86" t="s">
        <v>13</v>
      </c>
      <c r="G86" t="s">
        <v>28</v>
      </c>
      <c r="H86" t="s">
        <v>18</v>
      </c>
      <c r="I86">
        <v>1</v>
      </c>
      <c r="J86" t="s">
        <v>23</v>
      </c>
      <c r="K86" t="s">
        <v>24</v>
      </c>
      <c r="L86">
        <v>52</v>
      </c>
      <c r="M86" t="str">
        <f t="shared" si="1"/>
        <v>Middle Age</v>
      </c>
      <c r="N86" t="s">
        <v>15</v>
      </c>
    </row>
    <row r="87" spans="1:14" x14ac:dyDescent="0.25">
      <c r="A87">
        <v>16514</v>
      </c>
      <c r="B87" t="s">
        <v>38</v>
      </c>
      <c r="C87" t="s">
        <v>36</v>
      </c>
      <c r="D87" s="3">
        <v>10000</v>
      </c>
      <c r="E87">
        <v>0</v>
      </c>
      <c r="F87" t="s">
        <v>19</v>
      </c>
      <c r="G87" t="s">
        <v>25</v>
      </c>
      <c r="H87" t="s">
        <v>15</v>
      </c>
      <c r="I87">
        <v>1</v>
      </c>
      <c r="J87" t="s">
        <v>26</v>
      </c>
      <c r="K87" t="s">
        <v>24</v>
      </c>
      <c r="L87">
        <v>26</v>
      </c>
      <c r="M87" t="str">
        <f t="shared" si="1"/>
        <v>Adolescent</v>
      </c>
      <c r="N87" t="s">
        <v>15</v>
      </c>
    </row>
    <row r="88" spans="1:14" x14ac:dyDescent="0.25">
      <c r="A88">
        <v>17191</v>
      </c>
      <c r="B88" t="s">
        <v>38</v>
      </c>
      <c r="C88" t="s">
        <v>36</v>
      </c>
      <c r="D88" s="3">
        <v>130000</v>
      </c>
      <c r="E88">
        <v>3</v>
      </c>
      <c r="F88" t="s">
        <v>19</v>
      </c>
      <c r="G88" t="s">
        <v>21</v>
      </c>
      <c r="H88" t="s">
        <v>18</v>
      </c>
      <c r="I88">
        <v>3</v>
      </c>
      <c r="J88" t="s">
        <v>16</v>
      </c>
      <c r="K88" t="s">
        <v>17</v>
      </c>
      <c r="L88">
        <v>51</v>
      </c>
      <c r="M88" t="str">
        <f t="shared" si="1"/>
        <v>Middle Age</v>
      </c>
      <c r="N88" t="s">
        <v>15</v>
      </c>
    </row>
    <row r="89" spans="1:14" x14ac:dyDescent="0.25">
      <c r="A89">
        <v>19608</v>
      </c>
      <c r="B89" t="s">
        <v>37</v>
      </c>
      <c r="C89" t="s">
        <v>36</v>
      </c>
      <c r="D89" s="3">
        <v>80000</v>
      </c>
      <c r="E89">
        <v>5</v>
      </c>
      <c r="F89" t="s">
        <v>13</v>
      </c>
      <c r="G89" t="s">
        <v>21</v>
      </c>
      <c r="H89" t="s">
        <v>15</v>
      </c>
      <c r="I89">
        <v>4</v>
      </c>
      <c r="J89" t="s">
        <v>26</v>
      </c>
      <c r="K89" t="s">
        <v>24</v>
      </c>
      <c r="L89">
        <v>40</v>
      </c>
      <c r="M89" t="str">
        <f t="shared" si="1"/>
        <v>Middle Age</v>
      </c>
      <c r="N89" t="s">
        <v>18</v>
      </c>
    </row>
    <row r="90" spans="1:14" x14ac:dyDescent="0.25">
      <c r="A90">
        <v>24119</v>
      </c>
      <c r="B90" t="s">
        <v>38</v>
      </c>
      <c r="C90" t="s">
        <v>36</v>
      </c>
      <c r="D90" s="3">
        <v>30000</v>
      </c>
      <c r="E90">
        <v>0</v>
      </c>
      <c r="F90" t="s">
        <v>19</v>
      </c>
      <c r="G90" t="s">
        <v>20</v>
      </c>
      <c r="H90" t="s">
        <v>18</v>
      </c>
      <c r="I90">
        <v>1</v>
      </c>
      <c r="J90" t="s">
        <v>22</v>
      </c>
      <c r="K90" t="s">
        <v>17</v>
      </c>
      <c r="L90">
        <v>29</v>
      </c>
      <c r="M90" t="str">
        <f t="shared" si="1"/>
        <v>Adolescent</v>
      </c>
      <c r="N90" t="s">
        <v>18</v>
      </c>
    </row>
    <row r="91" spans="1:14" x14ac:dyDescent="0.25">
      <c r="A91">
        <v>25458</v>
      </c>
      <c r="B91" t="s">
        <v>37</v>
      </c>
      <c r="C91" t="s">
        <v>36</v>
      </c>
      <c r="D91" s="3">
        <v>20000</v>
      </c>
      <c r="E91">
        <v>1</v>
      </c>
      <c r="F91" t="s">
        <v>27</v>
      </c>
      <c r="G91" t="s">
        <v>25</v>
      </c>
      <c r="H91" t="s">
        <v>18</v>
      </c>
      <c r="I91">
        <v>1</v>
      </c>
      <c r="J91" t="s">
        <v>26</v>
      </c>
      <c r="K91" t="s">
        <v>17</v>
      </c>
      <c r="L91">
        <v>40</v>
      </c>
      <c r="M91" t="str">
        <f t="shared" si="1"/>
        <v>Middle Age</v>
      </c>
      <c r="N91" t="s">
        <v>15</v>
      </c>
    </row>
    <row r="92" spans="1:14" x14ac:dyDescent="0.25">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38</v>
      </c>
      <c r="C93" t="s">
        <v>36</v>
      </c>
      <c r="D93" s="3">
        <v>30000</v>
      </c>
      <c r="E93">
        <v>0</v>
      </c>
      <c r="F93" t="s">
        <v>19</v>
      </c>
      <c r="G93" t="s">
        <v>20</v>
      </c>
      <c r="H93" t="s">
        <v>18</v>
      </c>
      <c r="I93">
        <v>1</v>
      </c>
      <c r="J93" t="s">
        <v>16</v>
      </c>
      <c r="K93" t="s">
        <v>17</v>
      </c>
      <c r="L93">
        <v>30</v>
      </c>
      <c r="M93" t="str">
        <f t="shared" si="1"/>
        <v>Adolescent</v>
      </c>
      <c r="N93" t="s">
        <v>15</v>
      </c>
    </row>
    <row r="94" spans="1:14" x14ac:dyDescent="0.25">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38</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37</v>
      </c>
      <c r="C98" t="s">
        <v>36</v>
      </c>
      <c r="D98" s="3">
        <v>30000</v>
      </c>
      <c r="E98">
        <v>1</v>
      </c>
      <c r="F98" t="s">
        <v>19</v>
      </c>
      <c r="G98" t="s">
        <v>20</v>
      </c>
      <c r="H98" t="s">
        <v>15</v>
      </c>
      <c r="I98">
        <v>1</v>
      </c>
      <c r="J98" t="s">
        <v>16</v>
      </c>
      <c r="K98" t="s">
        <v>17</v>
      </c>
      <c r="L98">
        <v>43</v>
      </c>
      <c r="M98" t="str">
        <f t="shared" si="1"/>
        <v>Middle Age</v>
      </c>
      <c r="N98" t="s">
        <v>18</v>
      </c>
    </row>
    <row r="99" spans="1:14" x14ac:dyDescent="0.25">
      <c r="A99">
        <v>23940</v>
      </c>
      <c r="B99" t="s">
        <v>37</v>
      </c>
      <c r="C99" t="s">
        <v>36</v>
      </c>
      <c r="D99" s="3">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36</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t="s">
        <v>36</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t="s">
        <v>36</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36</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t="s">
        <v>36</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37</v>
      </c>
      <c r="C108" t="s">
        <v>36</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t="s">
        <v>36</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36</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38</v>
      </c>
      <c r="C117" t="s">
        <v>36</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36</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t="s">
        <v>36</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36</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t="s">
        <v>36</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36</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t="s">
        <v>36</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t="s">
        <v>36</v>
      </c>
      <c r="D131" s="3">
        <v>10000</v>
      </c>
      <c r="E131">
        <v>3</v>
      </c>
      <c r="F131" t="s">
        <v>27</v>
      </c>
      <c r="G131" t="s">
        <v>25</v>
      </c>
      <c r="H131" t="s">
        <v>15</v>
      </c>
      <c r="I131">
        <v>1</v>
      </c>
      <c r="J131" t="s">
        <v>16</v>
      </c>
      <c r="K131" t="s">
        <v>17</v>
      </c>
      <c r="L131">
        <v>39</v>
      </c>
      <c r="M131" t="str">
        <f t="shared" ref="M131:M194" si="2">IF(L131&gt;54,"Old", IF(L131&gt;=31,"Middle Age", IF(L131&lt;31,"Adolescent","Invalid")))</f>
        <v>Middle Age</v>
      </c>
      <c r="N131" t="s">
        <v>15</v>
      </c>
    </row>
    <row r="132" spans="1:14" x14ac:dyDescent="0.25">
      <c r="A132">
        <v>12993</v>
      </c>
      <c r="B132" t="s">
        <v>37</v>
      </c>
      <c r="C132" t="s">
        <v>36</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36</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t="s">
        <v>36</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t="s">
        <v>36</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36</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t="s">
        <v>36</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38</v>
      </c>
      <c r="C142" t="s">
        <v>36</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37</v>
      </c>
      <c r="C144" t="s">
        <v>36</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38</v>
      </c>
      <c r="C146" t="s">
        <v>36</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36</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36</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38</v>
      </c>
      <c r="C151" t="s">
        <v>36</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37</v>
      </c>
      <c r="C152" t="s">
        <v>36</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t="s">
        <v>36</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36</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t="s">
        <v>36</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38</v>
      </c>
      <c r="C159" t="s">
        <v>36</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t="s">
        <v>36</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36</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38</v>
      </c>
      <c r="C168" t="s">
        <v>36</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t="s">
        <v>36</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38</v>
      </c>
      <c r="C170" t="s">
        <v>36</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36</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t="s">
        <v>36</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38</v>
      </c>
      <c r="C176" t="s">
        <v>36</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36</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t="s">
        <v>36</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t="s">
        <v>36</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38</v>
      </c>
      <c r="C189" t="s">
        <v>36</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37</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37</v>
      </c>
      <c r="C191" t="s">
        <v>36</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36</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38</v>
      </c>
      <c r="C193" t="s">
        <v>36</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37</v>
      </c>
      <c r="C195" t="s">
        <v>39</v>
      </c>
      <c r="D195" s="3">
        <v>70000</v>
      </c>
      <c r="E195">
        <v>5</v>
      </c>
      <c r="F195" t="s">
        <v>13</v>
      </c>
      <c r="G195" t="s">
        <v>21</v>
      </c>
      <c r="H195" t="s">
        <v>15</v>
      </c>
      <c r="I195">
        <v>4</v>
      </c>
      <c r="J195" t="s">
        <v>46</v>
      </c>
      <c r="K195" t="s">
        <v>24</v>
      </c>
      <c r="L195">
        <v>41</v>
      </c>
      <c r="M195" t="str">
        <f t="shared" ref="M195:M258" si="3">IF(L195&gt;54,"Old", IF(L195&gt;=31,"Middle Age", IF(L195&lt;31,"Adolescent","Invalid")))</f>
        <v>Middle Age</v>
      </c>
      <c r="N195" t="s">
        <v>18</v>
      </c>
    </row>
    <row r="196" spans="1:14" x14ac:dyDescent="0.25">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t="s">
        <v>36</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36</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t="s">
        <v>36</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38</v>
      </c>
      <c r="C202" t="s">
        <v>36</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36</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38</v>
      </c>
      <c r="C204" t="s">
        <v>36</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36</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t="s">
        <v>36</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38</v>
      </c>
      <c r="C215" t="s">
        <v>36</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37</v>
      </c>
      <c r="C216" t="s">
        <v>36</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38</v>
      </c>
      <c r="C217" t="s">
        <v>36</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36</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38</v>
      </c>
      <c r="C220" t="s">
        <v>36</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t="s">
        <v>36</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37</v>
      </c>
      <c r="C222" t="s">
        <v>36</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t="s">
        <v>36</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36</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36</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t="s">
        <v>36</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37</v>
      </c>
      <c r="C232" t="s">
        <v>36</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36</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38</v>
      </c>
      <c r="C236" t="s">
        <v>36</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37</v>
      </c>
      <c r="C240" t="s">
        <v>36</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36</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38</v>
      </c>
      <c r="C244" t="s">
        <v>36</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37</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37</v>
      </c>
      <c r="C247" t="s">
        <v>36</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38</v>
      </c>
      <c r="C251" t="s">
        <v>36</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36</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t="s">
        <v>36</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38</v>
      </c>
      <c r="C254" t="s">
        <v>36</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36</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38</v>
      </c>
      <c r="C256" t="s">
        <v>36</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36</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t="s">
        <v>39</v>
      </c>
      <c r="D259" s="3">
        <v>50000</v>
      </c>
      <c r="E259">
        <v>0</v>
      </c>
      <c r="F259" t="s">
        <v>31</v>
      </c>
      <c r="G259" t="s">
        <v>14</v>
      </c>
      <c r="H259" t="s">
        <v>15</v>
      </c>
      <c r="I259">
        <v>0</v>
      </c>
      <c r="J259" t="s">
        <v>16</v>
      </c>
      <c r="K259" t="s">
        <v>17</v>
      </c>
      <c r="L259">
        <v>36</v>
      </c>
      <c r="M259" t="str">
        <f t="shared" ref="M259:M322" si="4">IF(L259&gt;54,"Old", IF(L259&gt;=31,"Middle Age", IF(L259&lt;31,"Adolescent","Invalid")))</f>
        <v>Middle Age</v>
      </c>
      <c r="N259" t="s">
        <v>15</v>
      </c>
    </row>
    <row r="260" spans="1:14" x14ac:dyDescent="0.25">
      <c r="A260">
        <v>14193</v>
      </c>
      <c r="B260" t="s">
        <v>38</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37</v>
      </c>
      <c r="C261" t="s">
        <v>36</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37</v>
      </c>
      <c r="C266" t="s">
        <v>36</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38</v>
      </c>
      <c r="C269" t="s">
        <v>36</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36</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37</v>
      </c>
      <c r="C274" t="s">
        <v>36</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36</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38</v>
      </c>
      <c r="C281" t="s">
        <v>36</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t="s">
        <v>36</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t="s">
        <v>36</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t="s">
        <v>36</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36</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36</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36</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t="s">
        <v>36</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36</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38</v>
      </c>
      <c r="C304" t="s">
        <v>36</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36</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t="s">
        <v>36</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t="s">
        <v>36</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36</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36</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36</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36</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36</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38</v>
      </c>
      <c r="C315" t="s">
        <v>36</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36</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t="s">
        <v>36</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36</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t="s">
        <v>36</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36</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36</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t="s">
        <v>39</v>
      </c>
      <c r="D323" s="3">
        <v>160000</v>
      </c>
      <c r="E323">
        <v>0</v>
      </c>
      <c r="F323" t="s">
        <v>31</v>
      </c>
      <c r="G323" t="s">
        <v>28</v>
      </c>
      <c r="H323" t="s">
        <v>18</v>
      </c>
      <c r="I323">
        <v>3</v>
      </c>
      <c r="J323" t="s">
        <v>16</v>
      </c>
      <c r="K323" t="s">
        <v>24</v>
      </c>
      <c r="L323">
        <v>47</v>
      </c>
      <c r="M323" t="str">
        <f t="shared" ref="M323:M386" si="5">IF(L323&gt;54,"Old", IF(L323&gt;=31,"Middle Age", IF(L323&lt;31,"Adolescent","Invalid")))</f>
        <v>Middle Age</v>
      </c>
      <c r="N323" t="s">
        <v>15</v>
      </c>
    </row>
    <row r="324" spans="1:14" x14ac:dyDescent="0.25">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36</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t="s">
        <v>36</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37</v>
      </c>
      <c r="C329" t="s">
        <v>36</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t="s">
        <v>36</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38</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37</v>
      </c>
      <c r="C333" t="s">
        <v>36</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36</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36</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36</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t="s">
        <v>36</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36</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36</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38</v>
      </c>
      <c r="C342" t="s">
        <v>36</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t="s">
        <v>36</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t="s">
        <v>36</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36</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36</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38</v>
      </c>
      <c r="C352" t="s">
        <v>36</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38</v>
      </c>
      <c r="C353" t="s">
        <v>36</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t="s">
        <v>36</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t="s">
        <v>36</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t="s">
        <v>36</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36</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t="s">
        <v>36</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38</v>
      </c>
      <c r="C362" t="s">
        <v>36</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37</v>
      </c>
      <c r="C364" t="s">
        <v>36</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36</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38</v>
      </c>
      <c r="C373" t="s">
        <v>36</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36</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t="s">
        <v>36</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t="s">
        <v>36</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36</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36</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36</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t="s">
        <v>36</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36</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37</v>
      </c>
      <c r="C385" t="s">
        <v>36</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38</v>
      </c>
      <c r="C387" t="s">
        <v>36</v>
      </c>
      <c r="D387" s="3">
        <v>30000</v>
      </c>
      <c r="E387">
        <v>3</v>
      </c>
      <c r="F387" t="s">
        <v>19</v>
      </c>
      <c r="G387" t="s">
        <v>20</v>
      </c>
      <c r="H387" t="s">
        <v>15</v>
      </c>
      <c r="I387">
        <v>0</v>
      </c>
      <c r="J387" t="s">
        <v>16</v>
      </c>
      <c r="K387" t="s">
        <v>17</v>
      </c>
      <c r="L387">
        <v>43</v>
      </c>
      <c r="M387" t="str">
        <f t="shared" ref="M387:M450" si="6">IF(L387&gt;54,"Old", IF(L387&gt;=31,"Middle Age", IF(L387&lt;31,"Adolescent","Invalid")))</f>
        <v>Middle Age</v>
      </c>
      <c r="N387" t="s">
        <v>18</v>
      </c>
    </row>
    <row r="388" spans="1:14" x14ac:dyDescent="0.25">
      <c r="A388">
        <v>28957</v>
      </c>
      <c r="B388" t="s">
        <v>38</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t="s">
        <v>36</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t="s">
        <v>36</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36</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t="s">
        <v>36</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38</v>
      </c>
      <c r="C400" t="s">
        <v>36</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36</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36</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36</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36</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t="s">
        <v>36</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t="s">
        <v>36</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36</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t="s">
        <v>36</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37</v>
      </c>
      <c r="C423" t="s">
        <v>36</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t="s">
        <v>36</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38</v>
      </c>
      <c r="C425" t="s">
        <v>36</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36</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38</v>
      </c>
      <c r="C428" t="s">
        <v>36</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36</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38</v>
      </c>
      <c r="C433" t="s">
        <v>36</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37</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36</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t="s">
        <v>36</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37</v>
      </c>
      <c r="C443" t="s">
        <v>36</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t="s">
        <v>36</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t="s">
        <v>36</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39</v>
      </c>
      <c r="D451" s="3">
        <v>40000</v>
      </c>
      <c r="E451">
        <v>1</v>
      </c>
      <c r="F451" t="s">
        <v>13</v>
      </c>
      <c r="G451" t="s">
        <v>14</v>
      </c>
      <c r="H451" t="s">
        <v>15</v>
      </c>
      <c r="I451">
        <v>0</v>
      </c>
      <c r="J451" t="s">
        <v>16</v>
      </c>
      <c r="K451" t="s">
        <v>17</v>
      </c>
      <c r="L451">
        <v>42</v>
      </c>
      <c r="M451" t="str">
        <f t="shared" ref="M451:M514" si="7">IF(L451&gt;54,"Old", IF(L451&gt;=31,"Middle Age", IF(L451&lt;31,"Adolescent","Invalid")))</f>
        <v>Middle Age</v>
      </c>
      <c r="N451" t="s">
        <v>18</v>
      </c>
    </row>
    <row r="452" spans="1:14" x14ac:dyDescent="0.25">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t="s">
        <v>36</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t="s">
        <v>36</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t="s">
        <v>36</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38</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38</v>
      </c>
      <c r="C462" t="s">
        <v>36</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t="s">
        <v>36</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36</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t="s">
        <v>36</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38</v>
      </c>
      <c r="C472" t="s">
        <v>36</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38</v>
      </c>
      <c r="C473" t="s">
        <v>36</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36</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36</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36</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36</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t="s">
        <v>36</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36</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t="s">
        <v>36</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37</v>
      </c>
      <c r="C489" t="s">
        <v>36</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36</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36</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36</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36</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37</v>
      </c>
      <c r="C496" t="s">
        <v>36</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36</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36</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36</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36</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36</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36</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36</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37</v>
      </c>
      <c r="C511" t="s">
        <v>36</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36</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36</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39</v>
      </c>
      <c r="D515" s="3">
        <v>60000</v>
      </c>
      <c r="E515">
        <v>4</v>
      </c>
      <c r="F515" t="s">
        <v>31</v>
      </c>
      <c r="G515" t="s">
        <v>28</v>
      </c>
      <c r="H515" t="s">
        <v>15</v>
      </c>
      <c r="I515">
        <v>2</v>
      </c>
      <c r="J515" t="s">
        <v>46</v>
      </c>
      <c r="K515" t="s">
        <v>32</v>
      </c>
      <c r="L515">
        <v>61</v>
      </c>
      <c r="M515" t="str">
        <f t="shared" ref="M515:M578" si="8">IF(L515&gt;54,"Old", IF(L515&gt;=31,"Middle Age", IF(L515&lt;31,"Adolescent","Invalid")))</f>
        <v>Old</v>
      </c>
      <c r="N515" t="s">
        <v>15</v>
      </c>
    </row>
    <row r="516" spans="1:14" x14ac:dyDescent="0.25">
      <c r="A516">
        <v>19399</v>
      </c>
      <c r="B516" t="s">
        <v>38</v>
      </c>
      <c r="C516" t="s">
        <v>36</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36</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36</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38</v>
      </c>
      <c r="C522" t="s">
        <v>36</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36</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38</v>
      </c>
      <c r="C524" t="s">
        <v>36</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36</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38</v>
      </c>
      <c r="C527" t="s">
        <v>36</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36</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37</v>
      </c>
      <c r="C531" t="s">
        <v>36</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37</v>
      </c>
      <c r="C532" t="s">
        <v>36</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38</v>
      </c>
      <c r="C533" t="s">
        <v>36</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36</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37</v>
      </c>
      <c r="C536" t="s">
        <v>36</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37</v>
      </c>
      <c r="C537" t="s">
        <v>36</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36</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36</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36</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t="s">
        <v>36</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37</v>
      </c>
      <c r="C548" t="s">
        <v>36</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36</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38</v>
      </c>
      <c r="C554" t="s">
        <v>36</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37</v>
      </c>
      <c r="C555" t="s">
        <v>36</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36</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36</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38</v>
      </c>
      <c r="C566" t="s">
        <v>36</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37</v>
      </c>
      <c r="C567" t="s">
        <v>36</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t="s">
        <v>36</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36</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36</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37</v>
      </c>
      <c r="C572" t="s">
        <v>36</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36</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t="s">
        <v>36</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37</v>
      </c>
      <c r="C575" t="s">
        <v>36</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t="s">
        <v>36</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t="s">
        <v>36</v>
      </c>
      <c r="D579" s="3">
        <v>120000</v>
      </c>
      <c r="E579">
        <v>1</v>
      </c>
      <c r="F579" t="s">
        <v>13</v>
      </c>
      <c r="G579" t="s">
        <v>28</v>
      </c>
      <c r="H579" t="s">
        <v>15</v>
      </c>
      <c r="I579">
        <v>4</v>
      </c>
      <c r="J579" t="s">
        <v>16</v>
      </c>
      <c r="K579" t="s">
        <v>32</v>
      </c>
      <c r="L579">
        <v>38</v>
      </c>
      <c r="M579" t="str">
        <f t="shared" ref="M579:M642" si="9">IF(L579&gt;54,"Old", IF(L579&gt;=31,"Middle Age", IF(L579&lt;31,"Adolescent","Invalid")))</f>
        <v>Middle Age</v>
      </c>
      <c r="N579" t="s">
        <v>18</v>
      </c>
    </row>
    <row r="580" spans="1:14" x14ac:dyDescent="0.25">
      <c r="A580">
        <v>15313</v>
      </c>
      <c r="B580" t="s">
        <v>37</v>
      </c>
      <c r="C580" t="s">
        <v>36</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37</v>
      </c>
      <c r="C583" t="s">
        <v>36</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37</v>
      </c>
      <c r="C584" t="s">
        <v>36</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36</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38</v>
      </c>
      <c r="C586" t="s">
        <v>36</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36</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36</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38</v>
      </c>
      <c r="C591" t="s">
        <v>36</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36</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36</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36</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t="s">
        <v>36</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36</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36</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36</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36</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36</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38</v>
      </c>
      <c r="C607" t="s">
        <v>36</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36</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37</v>
      </c>
      <c r="C610" t="s">
        <v>36</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36</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36</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38</v>
      </c>
      <c r="C615" t="s">
        <v>36</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36</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36</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t="s">
        <v>36</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37</v>
      </c>
      <c r="C627" t="s">
        <v>36</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38</v>
      </c>
      <c r="C630" t="s">
        <v>36</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36</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38</v>
      </c>
      <c r="C633" t="s">
        <v>36</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36</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36</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38</v>
      </c>
      <c r="C640" t="s">
        <v>36</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t="s">
        <v>36</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t="s">
        <v>36</v>
      </c>
      <c r="D643" s="3">
        <v>50000</v>
      </c>
      <c r="E643">
        <v>4</v>
      </c>
      <c r="F643" t="s">
        <v>13</v>
      </c>
      <c r="G643" t="s">
        <v>28</v>
      </c>
      <c r="H643" t="s">
        <v>15</v>
      </c>
      <c r="I643">
        <v>2</v>
      </c>
      <c r="J643" t="s">
        <v>46</v>
      </c>
      <c r="K643" t="s">
        <v>32</v>
      </c>
      <c r="L643">
        <v>64</v>
      </c>
      <c r="M643" t="str">
        <f t="shared" ref="M643:M706" si="10">IF(L643&gt;54,"Old", IF(L643&gt;=31,"Middle Age", IF(L643&lt;31,"Adolescent","Invalid")))</f>
        <v>Old</v>
      </c>
      <c r="N643" t="s">
        <v>18</v>
      </c>
    </row>
    <row r="644" spans="1:14" x14ac:dyDescent="0.2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36</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38</v>
      </c>
      <c r="C653" t="s">
        <v>36</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36</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36</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36</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36</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36</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36</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36</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36</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36</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36</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36</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36</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36</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t="s">
        <v>36</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36</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36</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38</v>
      </c>
      <c r="C690" t="s">
        <v>36</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37</v>
      </c>
      <c r="C691" t="s">
        <v>36</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36</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36</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36</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36</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37</v>
      </c>
      <c r="C700" t="s">
        <v>36</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36</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38</v>
      </c>
      <c r="C703" t="s">
        <v>36</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37</v>
      </c>
      <c r="C704" t="s">
        <v>36</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39</v>
      </c>
      <c r="D707" s="3">
        <v>70000</v>
      </c>
      <c r="E707">
        <v>4</v>
      </c>
      <c r="F707" t="s">
        <v>13</v>
      </c>
      <c r="G707" t="s">
        <v>28</v>
      </c>
      <c r="H707" t="s">
        <v>15</v>
      </c>
      <c r="I707">
        <v>1</v>
      </c>
      <c r="J707" t="s">
        <v>46</v>
      </c>
      <c r="K707" t="s">
        <v>32</v>
      </c>
      <c r="L707">
        <v>59</v>
      </c>
      <c r="M707" t="str">
        <f t="shared" ref="M707:M770" si="11">IF(L707&gt;54,"Old", IF(L707&gt;=31,"Middle Age", IF(L707&lt;31,"Adolescent","Invalid")))</f>
        <v>Old</v>
      </c>
      <c r="N707" t="s">
        <v>18</v>
      </c>
    </row>
    <row r="708" spans="1:14" x14ac:dyDescent="0.25">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36</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38</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37</v>
      </c>
      <c r="C712" t="s">
        <v>36</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36</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36</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36</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t="s">
        <v>36</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36</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36</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36</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36</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36</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36</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36</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37</v>
      </c>
      <c r="C738" t="s">
        <v>36</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36</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37</v>
      </c>
      <c r="C742" t="s">
        <v>36</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36</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37</v>
      </c>
      <c r="C745" t="s">
        <v>36</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37</v>
      </c>
      <c r="C747" t="s">
        <v>36</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36</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36</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36</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36</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t="s">
        <v>36</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36</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36</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36</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38</v>
      </c>
      <c r="C764" t="s">
        <v>36</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36</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36</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t="s">
        <v>39</v>
      </c>
      <c r="D771" s="3">
        <v>100000</v>
      </c>
      <c r="E771">
        <v>4</v>
      </c>
      <c r="F771" t="s">
        <v>13</v>
      </c>
      <c r="G771" t="s">
        <v>28</v>
      </c>
      <c r="H771" t="s">
        <v>15</v>
      </c>
      <c r="I771">
        <v>4</v>
      </c>
      <c r="J771" t="s">
        <v>16</v>
      </c>
      <c r="K771" t="s">
        <v>32</v>
      </c>
      <c r="L771">
        <v>40</v>
      </c>
      <c r="M771" t="str">
        <f t="shared" ref="M771:M834" si="12">IF(L771&gt;54,"Old", IF(L771&gt;=31,"Middle Age", IF(L771&lt;31,"Adolescent","Invalid")))</f>
        <v>Middle Age</v>
      </c>
      <c r="N771" t="s">
        <v>18</v>
      </c>
    </row>
    <row r="772" spans="1:14" x14ac:dyDescent="0.25">
      <c r="A772">
        <v>17699</v>
      </c>
      <c r="B772" t="s">
        <v>37</v>
      </c>
      <c r="C772" t="s">
        <v>36</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37</v>
      </c>
      <c r="C773" t="s">
        <v>36</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36</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36</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38</v>
      </c>
      <c r="C778" t="s">
        <v>36</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38</v>
      </c>
      <c r="C779" t="s">
        <v>36</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37</v>
      </c>
      <c r="C780" t="s">
        <v>36</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36</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37</v>
      </c>
      <c r="C783" t="s">
        <v>36</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t="s">
        <v>36</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36</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36</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36</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38</v>
      </c>
      <c r="C794" t="s">
        <v>36</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36</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36</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38</v>
      </c>
      <c r="C797" t="s">
        <v>36</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36</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t="s">
        <v>36</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36</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36</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t="s">
        <v>36</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37</v>
      </c>
      <c r="C805" t="s">
        <v>36</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37</v>
      </c>
      <c r="C806" t="s">
        <v>36</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36</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36</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37</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t="s">
        <v>36</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36</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38</v>
      </c>
      <c r="C822" t="s">
        <v>36</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36</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36</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36</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36</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36</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38</v>
      </c>
      <c r="C831" t="s">
        <v>36</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t="s">
        <v>36</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39</v>
      </c>
      <c r="D835" s="3">
        <v>70000</v>
      </c>
      <c r="E835">
        <v>0</v>
      </c>
      <c r="F835" t="s">
        <v>13</v>
      </c>
      <c r="G835" t="s">
        <v>21</v>
      </c>
      <c r="H835" t="s">
        <v>18</v>
      </c>
      <c r="I835">
        <v>1</v>
      </c>
      <c r="J835" t="s">
        <v>16</v>
      </c>
      <c r="K835" t="s">
        <v>32</v>
      </c>
      <c r="L835">
        <v>37</v>
      </c>
      <c r="M835" t="str">
        <f t="shared" ref="M835:M898" si="13">IF(L835&gt;54,"Old", IF(L835&gt;=31,"Middle Age", IF(L835&lt;31,"Adolescent","Invalid")))</f>
        <v>Middle Age</v>
      </c>
      <c r="N835" t="s">
        <v>15</v>
      </c>
    </row>
    <row r="836" spans="1:14" x14ac:dyDescent="0.25">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37</v>
      </c>
      <c r="C839" t="s">
        <v>36</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36</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37</v>
      </c>
      <c r="C843" t="s">
        <v>36</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36</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38</v>
      </c>
      <c r="C850" t="s">
        <v>36</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t="s">
        <v>36</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36</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36</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36</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36</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36</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36</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36</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36</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t="s">
        <v>36</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36</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37</v>
      </c>
      <c r="C869" t="s">
        <v>36</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36</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36</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36</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36</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36</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37</v>
      </c>
      <c r="C879" t="s">
        <v>36</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t="s">
        <v>36</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t="s">
        <v>36</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36</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t="s">
        <v>36</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36</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36</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36</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36</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36</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36</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t="s">
        <v>36</v>
      </c>
      <c r="D899" s="3">
        <v>30000</v>
      </c>
      <c r="E899">
        <v>0</v>
      </c>
      <c r="F899" t="s">
        <v>29</v>
      </c>
      <c r="G899" t="s">
        <v>20</v>
      </c>
      <c r="H899" t="s">
        <v>18</v>
      </c>
      <c r="I899">
        <v>2</v>
      </c>
      <c r="J899" t="s">
        <v>16</v>
      </c>
      <c r="K899" t="s">
        <v>32</v>
      </c>
      <c r="L899">
        <v>28</v>
      </c>
      <c r="M899" t="str">
        <f t="shared" ref="M899:M962" si="14">IF(L899&gt;54,"Old", IF(L899&gt;=31,"Middle Age", IF(L899&lt;31,"Adolescent","Invalid")))</f>
        <v>Adolescent</v>
      </c>
      <c r="N899" t="s">
        <v>18</v>
      </c>
    </row>
    <row r="900" spans="1:14" x14ac:dyDescent="0.25">
      <c r="A900">
        <v>18066</v>
      </c>
      <c r="B900" t="s">
        <v>38</v>
      </c>
      <c r="C900" t="s">
        <v>36</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37</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37</v>
      </c>
      <c r="C902" t="s">
        <v>36</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36</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36</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36</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36</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36</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38</v>
      </c>
      <c r="C910" t="s">
        <v>36</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36</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36</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36</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36</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36</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38</v>
      </c>
      <c r="C918" t="s">
        <v>36</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36</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37</v>
      </c>
      <c r="C922" t="s">
        <v>36</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36</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t="s">
        <v>36</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36</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36</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36</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38</v>
      </c>
      <c r="C935" t="s">
        <v>36</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37</v>
      </c>
      <c r="C936" t="s">
        <v>36</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t="s">
        <v>36</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38</v>
      </c>
      <c r="C941" t="s">
        <v>36</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36</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36</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36</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37</v>
      </c>
      <c r="C956" t="s">
        <v>36</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37</v>
      </c>
      <c r="C960" t="s">
        <v>36</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36</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36</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39</v>
      </c>
      <c r="D963" s="3">
        <v>120000</v>
      </c>
      <c r="E963">
        <v>2</v>
      </c>
      <c r="F963" t="s">
        <v>13</v>
      </c>
      <c r="G963" t="s">
        <v>28</v>
      </c>
      <c r="H963" t="s">
        <v>15</v>
      </c>
      <c r="I963">
        <v>3</v>
      </c>
      <c r="J963" t="s">
        <v>23</v>
      </c>
      <c r="K963" t="s">
        <v>32</v>
      </c>
      <c r="L963">
        <v>62</v>
      </c>
      <c r="M963" t="str">
        <f t="shared" ref="M963:M1001" si="15">IF(L963&gt;54,"Old", IF(L963&gt;=31,"Middle Age", IF(L963&lt;31,"Adolescent","Invalid")))</f>
        <v>Old</v>
      </c>
      <c r="N963" t="s">
        <v>18</v>
      </c>
    </row>
    <row r="964" spans="1:14" x14ac:dyDescent="0.25">
      <c r="A964">
        <v>16813</v>
      </c>
      <c r="B964" t="s">
        <v>37</v>
      </c>
      <c r="C964" t="s">
        <v>36</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38</v>
      </c>
      <c r="C966" t="s">
        <v>36</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36</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38</v>
      </c>
      <c r="C970" t="s">
        <v>36</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37</v>
      </c>
      <c r="C971" t="s">
        <v>36</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36</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36</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36</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t="s">
        <v>36</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36</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37</v>
      </c>
      <c r="C983" t="s">
        <v>36</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36</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36</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36</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36</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38</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37</v>
      </c>
      <c r="C990" t="s">
        <v>36</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37</v>
      </c>
      <c r="C991" t="s">
        <v>36</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36</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36</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36</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36</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t="s">
        <v>36</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36</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t="s">
        <v>36</v>
      </c>
      <c r="D1001" s="3">
        <v>60000</v>
      </c>
      <c r="E1001">
        <v>3</v>
      </c>
      <c r="F1001" t="s">
        <v>27</v>
      </c>
      <c r="G1001" t="s">
        <v>21</v>
      </c>
      <c r="H1001" t="s">
        <v>15</v>
      </c>
      <c r="I1001">
        <v>2</v>
      </c>
      <c r="J1001" t="s">
        <v>46</v>
      </c>
      <c r="K1001" t="s">
        <v>32</v>
      </c>
      <c r="L1001">
        <v>53</v>
      </c>
      <c r="M1001" t="str">
        <f t="shared" si="15"/>
        <v>Middle Age</v>
      </c>
      <c r="N1001" t="s">
        <v>15</v>
      </c>
    </row>
  </sheetData>
  <autoFilter ref="A1:N1001" xr:uid="{CED4D6EB-E6CC-4543-B9D8-85A52F745A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7" sqref="D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BC3A4-B9F9-476D-BBD5-142C37448C35}">
  <dimension ref="A1:D41"/>
  <sheetViews>
    <sheetView tabSelected="1" topLeftCell="A31" workbookViewId="0">
      <selection activeCell="B5" sqref="B5"/>
    </sheetView>
  </sheetViews>
  <sheetFormatPr defaultRowHeight="15" x14ac:dyDescent="0.25"/>
  <cols>
    <col min="1" max="1" width="21.85546875" bestFit="1" customWidth="1"/>
    <col min="2" max="2" width="15.5703125" bestFit="1" customWidth="1"/>
    <col min="3" max="3" width="4" bestFit="1" customWidth="1"/>
    <col min="4" max="4" width="10.7109375" bestFit="1" customWidth="1"/>
  </cols>
  <sheetData>
    <row r="1" spans="1:4" x14ac:dyDescent="0.25">
      <c r="A1" s="4" t="s">
        <v>44</v>
      </c>
      <c r="B1" s="4" t="s">
        <v>43</v>
      </c>
    </row>
    <row r="2" spans="1:4" x14ac:dyDescent="0.25">
      <c r="A2" s="4" t="s">
        <v>41</v>
      </c>
      <c r="B2" t="s">
        <v>18</v>
      </c>
      <c r="C2" t="s">
        <v>15</v>
      </c>
      <c r="D2" t="s">
        <v>42</v>
      </c>
    </row>
    <row r="3" spans="1:4" x14ac:dyDescent="0.25">
      <c r="A3" s="5" t="s">
        <v>39</v>
      </c>
      <c r="B3" s="6">
        <v>53440</v>
      </c>
      <c r="C3" s="6">
        <v>55774.058577405856</v>
      </c>
      <c r="D3" s="6">
        <v>54580.777096114522</v>
      </c>
    </row>
    <row r="4" spans="1:4" x14ac:dyDescent="0.25">
      <c r="A4" s="5" t="s">
        <v>36</v>
      </c>
      <c r="B4" s="6">
        <v>56208.178438661707</v>
      </c>
      <c r="C4" s="6">
        <v>60123.966942148763</v>
      </c>
      <c r="D4" s="6">
        <v>58062.62230919765</v>
      </c>
    </row>
    <row r="5" spans="1:4" x14ac:dyDescent="0.25">
      <c r="A5" s="5" t="s">
        <v>42</v>
      </c>
      <c r="B5" s="6">
        <v>54874.759152215796</v>
      </c>
      <c r="C5" s="6">
        <v>57962.577962577961</v>
      </c>
      <c r="D5" s="6">
        <v>56360</v>
      </c>
    </row>
    <row r="18" spans="1:4" x14ac:dyDescent="0.25">
      <c r="A18" s="4" t="s">
        <v>45</v>
      </c>
      <c r="B18" s="4" t="s">
        <v>43</v>
      </c>
    </row>
    <row r="19" spans="1:4" x14ac:dyDescent="0.25">
      <c r="A19" s="4" t="s">
        <v>41</v>
      </c>
      <c r="B19" t="s">
        <v>18</v>
      </c>
      <c r="C19" t="s">
        <v>15</v>
      </c>
      <c r="D19" t="s">
        <v>42</v>
      </c>
    </row>
    <row r="20" spans="1:4" x14ac:dyDescent="0.25">
      <c r="A20" s="5" t="s">
        <v>16</v>
      </c>
      <c r="B20">
        <v>166</v>
      </c>
      <c r="C20">
        <v>200</v>
      </c>
      <c r="D20">
        <v>366</v>
      </c>
    </row>
    <row r="21" spans="1:4" x14ac:dyDescent="0.25">
      <c r="A21" s="5" t="s">
        <v>26</v>
      </c>
      <c r="B21">
        <v>92</v>
      </c>
      <c r="C21">
        <v>77</v>
      </c>
      <c r="D21">
        <v>169</v>
      </c>
    </row>
    <row r="22" spans="1:4" x14ac:dyDescent="0.25">
      <c r="A22" s="5" t="s">
        <v>22</v>
      </c>
      <c r="B22">
        <v>67</v>
      </c>
      <c r="C22">
        <v>95</v>
      </c>
      <c r="D22">
        <v>162</v>
      </c>
    </row>
    <row r="23" spans="1:4" x14ac:dyDescent="0.25">
      <c r="A23" s="5" t="s">
        <v>23</v>
      </c>
      <c r="B23">
        <v>116</v>
      </c>
      <c r="C23">
        <v>76</v>
      </c>
      <c r="D23">
        <v>192</v>
      </c>
    </row>
    <row r="24" spans="1:4" x14ac:dyDescent="0.25">
      <c r="A24" s="5" t="s">
        <v>46</v>
      </c>
      <c r="B24">
        <v>78</v>
      </c>
      <c r="C24">
        <v>33</v>
      </c>
      <c r="D24">
        <v>111</v>
      </c>
    </row>
    <row r="25" spans="1:4" x14ac:dyDescent="0.25">
      <c r="A25" s="5" t="s">
        <v>42</v>
      </c>
      <c r="B25">
        <v>519</v>
      </c>
      <c r="C25">
        <v>481</v>
      </c>
      <c r="D25">
        <v>1000</v>
      </c>
    </row>
    <row r="36" spans="1:4" x14ac:dyDescent="0.25">
      <c r="A36" s="4" t="s">
        <v>45</v>
      </c>
      <c r="B36" s="4" t="s">
        <v>43</v>
      </c>
    </row>
    <row r="37" spans="1:4" x14ac:dyDescent="0.25">
      <c r="A37" s="4" t="s">
        <v>41</v>
      </c>
      <c r="B37" t="s">
        <v>18</v>
      </c>
      <c r="C37" t="s">
        <v>15</v>
      </c>
      <c r="D37" t="s">
        <v>42</v>
      </c>
    </row>
    <row r="38" spans="1:4" x14ac:dyDescent="0.25">
      <c r="A38" s="5" t="s">
        <v>47</v>
      </c>
      <c r="B38">
        <v>71</v>
      </c>
      <c r="C38">
        <v>39</v>
      </c>
      <c r="D38">
        <v>110</v>
      </c>
    </row>
    <row r="39" spans="1:4" x14ac:dyDescent="0.25">
      <c r="A39" s="5" t="s">
        <v>48</v>
      </c>
      <c r="B39">
        <v>318</v>
      </c>
      <c r="C39">
        <v>383</v>
      </c>
      <c r="D39">
        <v>701</v>
      </c>
    </row>
    <row r="40" spans="1:4" x14ac:dyDescent="0.25">
      <c r="A40" s="5" t="s">
        <v>49</v>
      </c>
      <c r="B40">
        <v>130</v>
      </c>
      <c r="C40">
        <v>59</v>
      </c>
      <c r="D40">
        <v>189</v>
      </c>
    </row>
    <row r="41" spans="1:4" x14ac:dyDescent="0.25">
      <c r="A41" s="5" t="s">
        <v>42</v>
      </c>
      <c r="B41">
        <v>519</v>
      </c>
      <c r="C41">
        <v>481</v>
      </c>
      <c r="D4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34E41-446D-47DD-972C-E7D6C564D882}">
  <dimension ref="A1:O5"/>
  <sheetViews>
    <sheetView showGridLines="0" zoomScale="79" zoomScaleNormal="85" workbookViewId="0">
      <selection activeCell="U12" sqref="U12"/>
    </sheetView>
  </sheetViews>
  <sheetFormatPr defaultRowHeight="15" x14ac:dyDescent="0.25"/>
  <sheetData>
    <row r="1" spans="1:15" x14ac:dyDescent="0.25">
      <c r="A1" s="7"/>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ht="13.9" customHeight="1" x14ac:dyDescent="0.25">
      <c r="A3" s="7"/>
      <c r="B3" s="7"/>
      <c r="C3" s="7"/>
      <c r="D3" s="7"/>
      <c r="E3" s="7"/>
      <c r="F3" s="7"/>
      <c r="G3" s="7"/>
      <c r="H3" s="7"/>
      <c r="I3" s="7"/>
      <c r="J3" s="7"/>
      <c r="K3" s="7"/>
      <c r="L3" s="7"/>
      <c r="M3" s="7"/>
      <c r="N3" s="7"/>
      <c r="O3" s="7"/>
    </row>
    <row r="4" spans="1:15" ht="49.15" customHeight="1" x14ac:dyDescent="0.9">
      <c r="A4" s="7"/>
      <c r="B4" s="7"/>
      <c r="C4" s="8" t="s">
        <v>50</v>
      </c>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8ae6590-0d75-4942-abbe-7d723f283b9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1A7ABE36EBDA409FACF9C6193734CB" ma:contentTypeVersion="12" ma:contentTypeDescription="Create a new document." ma:contentTypeScope="" ma:versionID="0624a40550dcb5eff70361a512bd1749">
  <xsd:schema xmlns:xsd="http://www.w3.org/2001/XMLSchema" xmlns:xs="http://www.w3.org/2001/XMLSchema" xmlns:p="http://schemas.microsoft.com/office/2006/metadata/properties" xmlns:ns3="43ee1fda-a70f-451b-b4ec-1000dd1127aa" xmlns:ns4="58ae6590-0d75-4942-abbe-7d723f283b99" targetNamespace="http://schemas.microsoft.com/office/2006/metadata/properties" ma:root="true" ma:fieldsID="ea13af7da62296a3d9ba8640eb702ed3" ns3:_="" ns4:_="">
    <xsd:import namespace="43ee1fda-a70f-451b-b4ec-1000dd1127aa"/>
    <xsd:import namespace="58ae6590-0d75-4942-abbe-7d723f283b9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ee1fda-a70f-451b-b4ec-1000dd1127a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ae6590-0d75-4942-abbe-7d723f283b9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56542B-50A2-4812-91D3-0590A31FAB1A}">
  <ds:schemaRefs>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58ae6590-0d75-4942-abbe-7d723f283b99"/>
    <ds:schemaRef ds:uri="http://schemas.openxmlformats.org/package/2006/metadata/core-properties"/>
    <ds:schemaRef ds:uri="43ee1fda-a70f-451b-b4ec-1000dd1127aa"/>
    <ds:schemaRef ds:uri="http://www.w3.org/XML/1998/namespace"/>
    <ds:schemaRef ds:uri="http://purl.org/dc/dcmitype/"/>
  </ds:schemaRefs>
</ds:datastoreItem>
</file>

<file path=customXml/itemProps2.xml><?xml version="1.0" encoding="utf-8"?>
<ds:datastoreItem xmlns:ds="http://schemas.openxmlformats.org/officeDocument/2006/customXml" ds:itemID="{27FA09B8-8E99-4FA0-A29D-DFA85400C3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ee1fda-a70f-451b-b4ec-1000dd1127aa"/>
    <ds:schemaRef ds:uri="58ae6590-0d75-4942-abbe-7d723f283b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7932A6-1646-4E76-B1E0-0938D49D5E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Worksheet</vt: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shashankr1@usf.edu</dc:creator>
  <cp:lastModifiedBy>nidhi patel</cp:lastModifiedBy>
  <dcterms:created xsi:type="dcterms:W3CDTF">2022-03-18T02:50:57Z</dcterms:created>
  <dcterms:modified xsi:type="dcterms:W3CDTF">2026-03-11T19:37:22Z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0x010100761A7ABE36EBDA409FACF9C6193734CB</vt:lpwstr>
  </property>
</Properties>
</file>